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showInkAnnotation="0" hidePivotFieldList="1" autoCompressPictures="0"/>
  <mc:AlternateContent xmlns:mc="http://schemas.openxmlformats.org/markup-compatibility/2006">
    <mc:Choice Requires="x15">
      <x15ac:absPath xmlns:x15ac="http://schemas.microsoft.com/office/spreadsheetml/2010/11/ac" url="V:\Toni y Rut\Trabajo\ACM\Autónomo\20250423_bizmotion\"/>
    </mc:Choice>
  </mc:AlternateContent>
  <xr:revisionPtr revIDLastSave="0" documentId="13_ncr:1_{9E659FDF-E579-49DD-A8AF-E8E43B5340F6}" xr6:coauthVersionLast="47" xr6:coauthVersionMax="47" xr10:uidLastSave="{00000000-0000-0000-0000-000000000000}"/>
  <bookViews>
    <workbookView xWindow="-120" yWindow="-120" windowWidth="30960" windowHeight="16800" tabRatio="500" xr2:uid="{00000000-000D-0000-FFFF-FFFF00000000}"/>
  </bookViews>
  <sheets>
    <sheet name="import_erp_v2" sheetId="9" r:id="rId1"/>
    <sheet name="pgc_pyme" sheetId="1" r:id="rId2"/>
    <sheet name="cuentas_balance" sheetId="10" r:id="rId3"/>
    <sheet name="cuentas_pyme" sheetId="2" r:id="rId4"/>
    <sheet name="erp_template" sheetId="4" r:id="rId5"/>
  </sheets>
  <definedNames>
    <definedName name="_xlnm._FilterDatabase" localSheetId="2" hidden="1">cuentas_balance!$B$2:$I$243</definedName>
    <definedName name="_xlnm._FilterDatabase" localSheetId="3" hidden="1">cuentas_pyme!$B$1:$C$781</definedName>
    <definedName name="_xlnm._FilterDatabase" localSheetId="0" hidden="1">import_erp_v2!$A$1:$H$739</definedName>
    <definedName name="_xlnm._FilterDatabase" localSheetId="1" hidden="1">pgc_pyme!$C$3:$O$741</definedName>
  </definedNames>
  <calcPr calcId="191029"/>
  <pivotCaches>
    <pivotCache cacheId="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8" i="9" l="1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73" i="9"/>
  <c r="B74" i="9"/>
  <c r="B75" i="9"/>
  <c r="B76" i="9"/>
  <c r="B77" i="9"/>
  <c r="B78" i="9"/>
  <c r="B79" i="9"/>
  <c r="B80" i="9"/>
  <c r="B81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21" i="9"/>
  <c r="B132" i="9"/>
  <c r="B135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5" i="9"/>
  <c r="B172" i="9"/>
  <c r="B182" i="9"/>
  <c r="B183" i="9"/>
  <c r="B190" i="9"/>
  <c r="B201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9" i="9"/>
  <c r="B222" i="9"/>
  <c r="B230" i="9"/>
  <c r="B233" i="9"/>
  <c r="B236" i="9"/>
  <c r="B239" i="9"/>
  <c r="B246" i="9"/>
  <c r="B254" i="9"/>
  <c r="B258" i="9"/>
  <c r="B259" i="9"/>
  <c r="B265" i="9"/>
  <c r="B266" i="9"/>
  <c r="B267" i="9"/>
  <c r="B268" i="9"/>
  <c r="B269" i="9"/>
  <c r="B276" i="9"/>
  <c r="B280" i="9"/>
  <c r="B285" i="9"/>
  <c r="B286" i="9"/>
  <c r="B294" i="9"/>
  <c r="B295" i="9"/>
  <c r="B296" i="9"/>
  <c r="B297" i="9"/>
  <c r="B298" i="9"/>
  <c r="B299" i="9"/>
  <c r="B309" i="9"/>
  <c r="B310" i="9"/>
  <c r="B311" i="9"/>
  <c r="B315" i="9"/>
  <c r="B316" i="9"/>
  <c r="B317" i="9"/>
  <c r="B321" i="9"/>
  <c r="B326" i="9"/>
  <c r="B327" i="9"/>
  <c r="B328" i="9"/>
  <c r="B329" i="9"/>
  <c r="B330" i="9"/>
  <c r="B331" i="9"/>
  <c r="B332" i="9"/>
  <c r="B336" i="9"/>
  <c r="B339" i="9"/>
  <c r="B340" i="9"/>
  <c r="B341" i="9"/>
  <c r="B342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5" i="9"/>
  <c r="B366" i="9"/>
  <c r="B367" i="9"/>
  <c r="B368" i="9"/>
  <c r="B369" i="9"/>
  <c r="B370" i="9"/>
  <c r="B371" i="9"/>
  <c r="B372" i="9"/>
  <c r="B373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36" i="9"/>
  <c r="B437" i="9"/>
  <c r="B438" i="9"/>
  <c r="B439" i="9"/>
  <c r="B440" i="9"/>
  <c r="B441" i="9"/>
  <c r="B442" i="9"/>
  <c r="B443" i="9"/>
  <c r="B444" i="9"/>
  <c r="B445" i="9"/>
  <c r="B446" i="9"/>
  <c r="B463" i="9"/>
  <c r="B467" i="9"/>
  <c r="B478" i="9"/>
  <c r="B492" i="9"/>
  <c r="B497" i="9"/>
  <c r="B503" i="9"/>
  <c r="B555" i="9"/>
  <c r="B565" i="9"/>
  <c r="B569" i="9"/>
  <c r="B608" i="9"/>
  <c r="B632" i="9"/>
  <c r="B637" i="9"/>
  <c r="B642" i="9"/>
  <c r="B646" i="9"/>
  <c r="B655" i="9"/>
  <c r="B689" i="9"/>
  <c r="B699" i="9"/>
  <c r="B7" i="9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0" i="1"/>
  <c r="K699" i="1"/>
  <c r="K698" i="1"/>
  <c r="K697" i="1"/>
  <c r="K696" i="1"/>
  <c r="K695" i="1"/>
  <c r="K694" i="1"/>
  <c r="K693" i="1"/>
  <c r="K692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6" i="1"/>
  <c r="K655" i="1"/>
  <c r="K654" i="1"/>
  <c r="K653" i="1"/>
  <c r="K652" i="1"/>
  <c r="K651" i="1"/>
  <c r="K650" i="1"/>
  <c r="K649" i="1"/>
  <c r="K647" i="1"/>
  <c r="K646" i="1"/>
  <c r="K645" i="1"/>
  <c r="K643" i="1"/>
  <c r="K642" i="1"/>
  <c r="K641" i="1"/>
  <c r="K640" i="1"/>
  <c r="K638" i="1"/>
  <c r="K637" i="1"/>
  <c r="K636" i="1"/>
  <c r="K635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0" i="1"/>
  <c r="K569" i="1"/>
  <c r="K568" i="1"/>
  <c r="K566" i="1"/>
  <c r="K565" i="1"/>
  <c r="K564" i="1"/>
  <c r="K563" i="1"/>
  <c r="K562" i="1"/>
  <c r="K561" i="1"/>
  <c r="K560" i="1"/>
  <c r="K559" i="1"/>
  <c r="K558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4" i="1"/>
  <c r="K503" i="1"/>
  <c r="K502" i="1"/>
  <c r="K501" i="1"/>
  <c r="K500" i="1"/>
  <c r="K498" i="1"/>
  <c r="K497" i="1"/>
  <c r="K496" i="1"/>
  <c r="K495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79" i="1"/>
  <c r="K478" i="1"/>
  <c r="K477" i="1"/>
  <c r="K476" i="1"/>
  <c r="K475" i="1"/>
  <c r="K474" i="1"/>
  <c r="K473" i="1"/>
  <c r="K472" i="1"/>
  <c r="K471" i="1"/>
  <c r="K470" i="1"/>
  <c r="K468" i="1"/>
  <c r="K467" i="1"/>
  <c r="K466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H188" i="10"/>
  <c r="G188" i="10"/>
  <c r="E370" i="1"/>
  <c r="F370" i="1"/>
  <c r="H370" i="1"/>
  <c r="I370" i="1"/>
  <c r="O370" i="1"/>
  <c r="K307" i="1"/>
  <c r="K273" i="1"/>
  <c r="K274" i="1"/>
  <c r="K275" i="1"/>
  <c r="K277" i="1"/>
  <c r="K279" i="1"/>
  <c r="K280" i="1"/>
  <c r="K281" i="1"/>
  <c r="K283" i="1"/>
  <c r="K284" i="1"/>
  <c r="K285" i="1"/>
  <c r="K286" i="1"/>
  <c r="K289" i="1"/>
  <c r="K290" i="1"/>
  <c r="K291" i="1"/>
  <c r="K292" i="1"/>
  <c r="K293" i="1"/>
  <c r="K294" i="1"/>
  <c r="K295" i="1"/>
  <c r="K303" i="1"/>
  <c r="K304" i="1"/>
  <c r="K305" i="1"/>
  <c r="K308" i="1"/>
  <c r="K309" i="1"/>
  <c r="K310" i="1"/>
  <c r="K266" i="1"/>
  <c r="K265" i="1"/>
  <c r="K264" i="1"/>
  <c r="K263" i="1"/>
  <c r="K262" i="1"/>
  <c r="K259" i="1"/>
  <c r="K258" i="1"/>
  <c r="K257" i="1"/>
  <c r="K255" i="1"/>
  <c r="K254" i="1"/>
  <c r="K253" i="1"/>
  <c r="K252" i="1"/>
  <c r="K251" i="1"/>
  <c r="K250" i="1"/>
  <c r="K249" i="1"/>
  <c r="K247" i="1"/>
  <c r="K246" i="1"/>
  <c r="K245" i="1"/>
  <c r="K244" i="1"/>
  <c r="K243" i="1"/>
  <c r="K242" i="1"/>
  <c r="K240" i="1"/>
  <c r="K239" i="1"/>
  <c r="E276" i="1"/>
  <c r="F276" i="1"/>
  <c r="H276" i="1"/>
  <c r="O276" i="1"/>
  <c r="E277" i="1"/>
  <c r="F277" i="1"/>
  <c r="H277" i="1"/>
  <c r="O277" i="1"/>
  <c r="I224" i="1"/>
  <c r="K224" i="1" s="1"/>
  <c r="K168" i="1"/>
  <c r="K165" i="1"/>
  <c r="K138" i="1"/>
  <c r="K135" i="1"/>
  <c r="K116" i="1"/>
  <c r="K71" i="1"/>
  <c r="K72" i="1"/>
  <c r="K73" i="1"/>
  <c r="K74" i="1"/>
  <c r="I70" i="1"/>
  <c r="K70" i="1" s="1"/>
  <c r="I83" i="1"/>
  <c r="K83" i="1" s="1"/>
  <c r="K84" i="1"/>
  <c r="K85" i="1"/>
  <c r="K86" i="1"/>
  <c r="K87" i="1"/>
  <c r="I115" i="1"/>
  <c r="K115" i="1" s="1"/>
  <c r="K117" i="1"/>
  <c r="K118" i="1"/>
  <c r="K119" i="1"/>
  <c r="K120" i="1"/>
  <c r="K121" i="1"/>
  <c r="K122" i="1"/>
  <c r="I123" i="1"/>
  <c r="K123" i="1" s="1"/>
  <c r="K124" i="1"/>
  <c r="K125" i="1"/>
  <c r="K126" i="1"/>
  <c r="K127" i="1"/>
  <c r="K128" i="1"/>
  <c r="K129" i="1"/>
  <c r="K130" i="1"/>
  <c r="K131" i="1"/>
  <c r="K132" i="1"/>
  <c r="K133" i="1"/>
  <c r="I134" i="1"/>
  <c r="K134" i="1" s="1"/>
  <c r="K136" i="1"/>
  <c r="I137" i="1"/>
  <c r="K137" i="1" s="1"/>
  <c r="K139" i="1"/>
  <c r="K140" i="1"/>
  <c r="K141" i="1"/>
  <c r="K142" i="1"/>
  <c r="K143" i="1"/>
  <c r="I164" i="1"/>
  <c r="K164" i="1" s="1"/>
  <c r="K166" i="1"/>
  <c r="I167" i="1"/>
  <c r="K167" i="1" s="1"/>
  <c r="K169" i="1"/>
  <c r="K170" i="1"/>
  <c r="K171" i="1"/>
  <c r="K172" i="1"/>
  <c r="K173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K57" i="1"/>
  <c r="L57" i="1" s="1"/>
  <c r="K56" i="1"/>
  <c r="L56" i="1" s="1"/>
  <c r="K55" i="1"/>
  <c r="L55" i="1" s="1"/>
  <c r="K54" i="1"/>
  <c r="L54" i="1" s="1"/>
  <c r="K53" i="1"/>
  <c r="L53" i="1" s="1"/>
  <c r="K52" i="1"/>
  <c r="L52" i="1" s="1"/>
  <c r="K51" i="1"/>
  <c r="L51" i="1" s="1"/>
  <c r="K50" i="1"/>
  <c r="L50" i="1" s="1"/>
  <c r="K49" i="1"/>
  <c r="L49" i="1" s="1"/>
  <c r="K48" i="1"/>
  <c r="L48" i="1" s="1"/>
  <c r="K47" i="1"/>
  <c r="L47" i="1" s="1"/>
  <c r="K46" i="1"/>
  <c r="L46" i="1" s="1"/>
  <c r="K45" i="1"/>
  <c r="L45" i="1" s="1"/>
  <c r="K44" i="1"/>
  <c r="L44" i="1" s="1"/>
  <c r="K43" i="1"/>
  <c r="L43" i="1" s="1"/>
  <c r="K42" i="1"/>
  <c r="L42" i="1" s="1"/>
  <c r="K41" i="1"/>
  <c r="L41" i="1" s="1"/>
  <c r="K40" i="1"/>
  <c r="L40" i="1" s="1"/>
  <c r="K39" i="1"/>
  <c r="L39" i="1" s="1"/>
  <c r="K38" i="1"/>
  <c r="L38" i="1" s="1"/>
  <c r="K37" i="1"/>
  <c r="L37" i="1" s="1"/>
  <c r="K36" i="1"/>
  <c r="L36" i="1" s="1"/>
  <c r="K35" i="1"/>
  <c r="L35" i="1" s="1"/>
  <c r="K34" i="1"/>
  <c r="L34" i="1" s="1"/>
  <c r="K33" i="1"/>
  <c r="L33" i="1" s="1"/>
  <c r="K32" i="1"/>
  <c r="L32" i="1" s="1"/>
  <c r="K31" i="1"/>
  <c r="L31" i="1" s="1"/>
  <c r="K30" i="1"/>
  <c r="L30" i="1" s="1"/>
  <c r="K29" i="1"/>
  <c r="L29" i="1" s="1"/>
  <c r="K28" i="1"/>
  <c r="L28" i="1" s="1"/>
  <c r="K27" i="1"/>
  <c r="L27" i="1" s="1"/>
  <c r="K26" i="1"/>
  <c r="L26" i="1" s="1"/>
  <c r="K25" i="1"/>
  <c r="L25" i="1" s="1"/>
  <c r="K24" i="1"/>
  <c r="L24" i="1" s="1"/>
  <c r="K23" i="1"/>
  <c r="L23" i="1" s="1"/>
  <c r="K22" i="1"/>
  <c r="L22" i="1" s="1"/>
  <c r="K21" i="1"/>
  <c r="L21" i="1" s="1"/>
  <c r="K20" i="1"/>
  <c r="L20" i="1" s="1"/>
  <c r="K19" i="1"/>
  <c r="L19" i="1" s="1"/>
  <c r="K18" i="1"/>
  <c r="L18" i="1" s="1"/>
  <c r="K17" i="1"/>
  <c r="L17" i="1" s="1"/>
  <c r="K16" i="1"/>
  <c r="L16" i="1" s="1"/>
  <c r="K15" i="1"/>
  <c r="L15" i="1" s="1"/>
  <c r="K14" i="1"/>
  <c r="L14" i="1" s="1"/>
  <c r="K13" i="1"/>
  <c r="L13" i="1" s="1"/>
  <c r="K12" i="1"/>
  <c r="L12" i="1" s="1"/>
  <c r="K11" i="1"/>
  <c r="L11" i="1" s="1"/>
  <c r="K10" i="1"/>
  <c r="L10" i="1" s="1"/>
  <c r="H178" i="10"/>
  <c r="G178" i="10" s="1"/>
  <c r="H177" i="10"/>
  <c r="G177" i="10" s="1"/>
  <c r="H176" i="10"/>
  <c r="G176" i="10" s="1"/>
  <c r="H175" i="10"/>
  <c r="G175" i="10" s="1"/>
  <c r="H174" i="10"/>
  <c r="G174" i="10" s="1"/>
  <c r="H173" i="10"/>
  <c r="G173" i="10" s="1"/>
  <c r="H172" i="10"/>
  <c r="G172" i="10" s="1"/>
  <c r="H171" i="10"/>
  <c r="G171" i="10" s="1"/>
  <c r="I58" i="1"/>
  <c r="K58" i="1" s="1"/>
  <c r="I59" i="1"/>
  <c r="K59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5" i="1"/>
  <c r="K75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5" i="1"/>
  <c r="K105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74" i="1"/>
  <c r="K174" i="1" s="1"/>
  <c r="K175" i="1"/>
  <c r="K176" i="1"/>
  <c r="K177" i="1"/>
  <c r="K178" i="1"/>
  <c r="K179" i="1"/>
  <c r="K180" i="1"/>
  <c r="K181" i="1"/>
  <c r="K182" i="1"/>
  <c r="K183" i="1"/>
  <c r="I184" i="1"/>
  <c r="K184" i="1" s="1"/>
  <c r="I185" i="1"/>
  <c r="K185" i="1" s="1"/>
  <c r="K186" i="1"/>
  <c r="K187" i="1"/>
  <c r="K188" i="1"/>
  <c r="K189" i="1"/>
  <c r="K190" i="1"/>
  <c r="K191" i="1"/>
  <c r="I192" i="1"/>
  <c r="K192" i="1" s="1"/>
  <c r="K193" i="1"/>
  <c r="K194" i="1"/>
  <c r="K195" i="1"/>
  <c r="K196" i="1"/>
  <c r="K197" i="1"/>
  <c r="K198" i="1"/>
  <c r="K199" i="1"/>
  <c r="K200" i="1"/>
  <c r="K201" i="1"/>
  <c r="K202" i="1"/>
  <c r="I203" i="1"/>
  <c r="K203" i="1" s="1"/>
  <c r="K204" i="1"/>
  <c r="K205" i="1"/>
  <c r="I206" i="1"/>
  <c r="K206" i="1" s="1"/>
  <c r="I207" i="1"/>
  <c r="K207" i="1" s="1"/>
  <c r="I208" i="1"/>
  <c r="I209" i="1"/>
  <c r="K209" i="1" s="1"/>
  <c r="I210" i="1"/>
  <c r="K210" i="1" s="1"/>
  <c r="I211" i="1"/>
  <c r="K211" i="1" s="1"/>
  <c r="I212" i="1"/>
  <c r="K212" i="1" s="1"/>
  <c r="I213" i="1"/>
  <c r="K213" i="1" s="1"/>
  <c r="I214" i="1"/>
  <c r="K214" i="1" s="1"/>
  <c r="I215" i="1"/>
  <c r="I216" i="1"/>
  <c r="K216" i="1" s="1"/>
  <c r="I217" i="1"/>
  <c r="K217" i="1" s="1"/>
  <c r="I218" i="1"/>
  <c r="K218" i="1" s="1"/>
  <c r="K219" i="1"/>
  <c r="K220" i="1"/>
  <c r="I221" i="1"/>
  <c r="K221" i="1" s="1"/>
  <c r="K222" i="1"/>
  <c r="K223" i="1"/>
  <c r="K225" i="1"/>
  <c r="K226" i="1"/>
  <c r="K227" i="1"/>
  <c r="K228" i="1"/>
  <c r="K229" i="1"/>
  <c r="K230" i="1"/>
  <c r="K231" i="1"/>
  <c r="I232" i="1"/>
  <c r="K232" i="1" s="1"/>
  <c r="K233" i="1"/>
  <c r="K234" i="1"/>
  <c r="I235" i="1"/>
  <c r="K235" i="1" s="1"/>
  <c r="K236" i="1"/>
  <c r="K237" i="1"/>
  <c r="I238" i="1"/>
  <c r="K238" i="1" s="1"/>
  <c r="I241" i="1"/>
  <c r="K241" i="1" s="1"/>
  <c r="I248" i="1"/>
  <c r="K248" i="1" s="1"/>
  <c r="I256" i="1"/>
  <c r="K256" i="1" s="1"/>
  <c r="I260" i="1"/>
  <c r="I261" i="1"/>
  <c r="I267" i="1"/>
  <c r="I268" i="1"/>
  <c r="I269" i="1"/>
  <c r="I270" i="1"/>
  <c r="I271" i="1"/>
  <c r="I278" i="1"/>
  <c r="K278" i="1" s="1"/>
  <c r="I282" i="1"/>
  <c r="K282" i="1" s="1"/>
  <c r="I287" i="1"/>
  <c r="K287" i="1" s="1"/>
  <c r="I288" i="1"/>
  <c r="K288" i="1" s="1"/>
  <c r="I296" i="1"/>
  <c r="K296" i="1" s="1"/>
  <c r="I297" i="1"/>
  <c r="K297" i="1" s="1"/>
  <c r="I298" i="1"/>
  <c r="K298" i="1" s="1"/>
  <c r="I299" i="1"/>
  <c r="K299" i="1" s="1"/>
  <c r="I300" i="1"/>
  <c r="K300" i="1" s="1"/>
  <c r="I301" i="1"/>
  <c r="K301" i="1" s="1"/>
  <c r="I311" i="1"/>
  <c r="K311" i="1" s="1"/>
  <c r="I312" i="1"/>
  <c r="K312" i="1" s="1"/>
  <c r="I313" i="1"/>
  <c r="K313" i="1" s="1"/>
  <c r="K314" i="1"/>
  <c r="K315" i="1"/>
  <c r="K316" i="1"/>
  <c r="I317" i="1"/>
  <c r="K317" i="1" s="1"/>
  <c r="I318" i="1"/>
  <c r="K318" i="1" s="1"/>
  <c r="I319" i="1"/>
  <c r="K319" i="1" s="1"/>
  <c r="K320" i="1"/>
  <c r="K321" i="1"/>
  <c r="K322" i="1"/>
  <c r="I323" i="1"/>
  <c r="K323" i="1" s="1"/>
  <c r="K324" i="1"/>
  <c r="K325" i="1"/>
  <c r="K326" i="1"/>
  <c r="K327" i="1"/>
  <c r="I328" i="1"/>
  <c r="K328" i="1" s="1"/>
  <c r="I329" i="1"/>
  <c r="K329" i="1" s="1"/>
  <c r="I330" i="1"/>
  <c r="K330" i="1" s="1"/>
  <c r="I331" i="1"/>
  <c r="K331" i="1" s="1"/>
  <c r="I332" i="1"/>
  <c r="K332" i="1" s="1"/>
  <c r="I333" i="1"/>
  <c r="K333" i="1" s="1"/>
  <c r="I334" i="1"/>
  <c r="K334" i="1" s="1"/>
  <c r="K335" i="1"/>
  <c r="K336" i="1"/>
  <c r="K337" i="1"/>
  <c r="I338" i="1"/>
  <c r="K338" i="1" s="1"/>
  <c r="K339" i="1"/>
  <c r="K340" i="1"/>
  <c r="I341" i="1"/>
  <c r="K341" i="1" s="1"/>
  <c r="I342" i="1"/>
  <c r="K342" i="1" s="1"/>
  <c r="I343" i="1"/>
  <c r="K343" i="1" s="1"/>
  <c r="I344" i="1"/>
  <c r="K344" i="1" s="1"/>
  <c r="K345" i="1"/>
  <c r="K346" i="1"/>
  <c r="I347" i="1"/>
  <c r="K347" i="1" s="1"/>
  <c r="I348" i="1"/>
  <c r="K348" i="1" s="1"/>
  <c r="I349" i="1"/>
  <c r="K349" i="1" s="1"/>
  <c r="I350" i="1"/>
  <c r="K350" i="1" s="1"/>
  <c r="I351" i="1"/>
  <c r="K351" i="1" s="1"/>
  <c r="I352" i="1"/>
  <c r="K352" i="1" s="1"/>
  <c r="I353" i="1"/>
  <c r="K353" i="1" s="1"/>
  <c r="I354" i="1"/>
  <c r="K354" i="1" s="1"/>
  <c r="I355" i="1"/>
  <c r="K355" i="1" s="1"/>
  <c r="I356" i="1"/>
  <c r="K356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K363" i="1"/>
  <c r="K364" i="1"/>
  <c r="K365" i="1"/>
  <c r="K366" i="1"/>
  <c r="I367" i="1"/>
  <c r="K367" i="1" s="1"/>
  <c r="I368" i="1"/>
  <c r="K368" i="1" s="1"/>
  <c r="I369" i="1"/>
  <c r="K369" i="1" s="1"/>
  <c r="I371" i="1"/>
  <c r="K371" i="1" s="1"/>
  <c r="I372" i="1"/>
  <c r="K372" i="1" s="1"/>
  <c r="I373" i="1"/>
  <c r="K373" i="1" s="1"/>
  <c r="I374" i="1"/>
  <c r="K374" i="1" s="1"/>
  <c r="I375" i="1"/>
  <c r="K375" i="1" s="1"/>
  <c r="K376" i="1"/>
  <c r="K377" i="1"/>
  <c r="K378" i="1"/>
  <c r="K379" i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5" i="1"/>
  <c r="K395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2" i="1"/>
  <c r="K402" i="1" s="1"/>
  <c r="I403" i="1"/>
  <c r="K403" i="1" s="1"/>
  <c r="I404" i="1"/>
  <c r="K404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K431" i="1"/>
  <c r="K432" i="1"/>
  <c r="K433" i="1"/>
  <c r="K434" i="1"/>
  <c r="K435" i="1"/>
  <c r="K436" i="1"/>
  <c r="K437" i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45" i="1"/>
  <c r="K445" i="1" s="1"/>
  <c r="I446" i="1"/>
  <c r="K446" i="1" s="1"/>
  <c r="I447" i="1"/>
  <c r="K447" i="1" s="1"/>
  <c r="H8" i="10"/>
  <c r="H7" i="10"/>
  <c r="H6" i="10"/>
  <c r="H5" i="10"/>
  <c r="H4" i="10"/>
  <c r="H3" i="10"/>
  <c r="H132" i="10"/>
  <c r="G132" i="10" s="1"/>
  <c r="H10" i="10"/>
  <c r="G10" i="10" s="1"/>
  <c r="H11" i="10"/>
  <c r="G11" i="10" s="1"/>
  <c r="H12" i="10"/>
  <c r="G12" i="10" s="1"/>
  <c r="H13" i="10"/>
  <c r="G13" i="10" s="1"/>
  <c r="H14" i="10"/>
  <c r="G14" i="10" s="1"/>
  <c r="H15" i="10"/>
  <c r="G15" i="10" s="1"/>
  <c r="H16" i="10"/>
  <c r="G16" i="10" s="1"/>
  <c r="H17" i="10"/>
  <c r="G17" i="10" s="1"/>
  <c r="H18" i="10"/>
  <c r="G18" i="10" s="1"/>
  <c r="H19" i="10"/>
  <c r="G19" i="10" s="1"/>
  <c r="H20" i="10"/>
  <c r="G20" i="10" s="1"/>
  <c r="H21" i="10"/>
  <c r="G21" i="10" s="1"/>
  <c r="H22" i="10"/>
  <c r="G22" i="10" s="1"/>
  <c r="H23" i="10"/>
  <c r="G23" i="10" s="1"/>
  <c r="H24" i="10"/>
  <c r="G24" i="10" s="1"/>
  <c r="H25" i="10"/>
  <c r="G25" i="10" s="1"/>
  <c r="H26" i="10"/>
  <c r="G26" i="10" s="1"/>
  <c r="H27" i="10"/>
  <c r="G27" i="10" s="1"/>
  <c r="H28" i="10"/>
  <c r="G28" i="10" s="1"/>
  <c r="H29" i="10"/>
  <c r="G29" i="10" s="1"/>
  <c r="H30" i="10"/>
  <c r="G30" i="10" s="1"/>
  <c r="H31" i="10"/>
  <c r="G31" i="10" s="1"/>
  <c r="H32" i="10"/>
  <c r="G32" i="10" s="1"/>
  <c r="H33" i="10"/>
  <c r="G33" i="10" s="1"/>
  <c r="H34" i="10"/>
  <c r="G34" i="10" s="1"/>
  <c r="H35" i="10"/>
  <c r="G35" i="10" s="1"/>
  <c r="H36" i="10"/>
  <c r="G36" i="10" s="1"/>
  <c r="H37" i="10"/>
  <c r="G37" i="10" s="1"/>
  <c r="H38" i="10"/>
  <c r="G38" i="10" s="1"/>
  <c r="H39" i="10"/>
  <c r="G39" i="10" s="1"/>
  <c r="H40" i="10"/>
  <c r="G40" i="10" s="1"/>
  <c r="H41" i="10"/>
  <c r="G41" i="10" s="1"/>
  <c r="H42" i="10"/>
  <c r="G42" i="10" s="1"/>
  <c r="H43" i="10"/>
  <c r="G43" i="10" s="1"/>
  <c r="H44" i="10"/>
  <c r="G44" i="10" s="1"/>
  <c r="H45" i="10"/>
  <c r="G45" i="10" s="1"/>
  <c r="H46" i="10"/>
  <c r="G46" i="10" s="1"/>
  <c r="H47" i="10"/>
  <c r="G47" i="10" s="1"/>
  <c r="H48" i="10"/>
  <c r="G48" i="10" s="1"/>
  <c r="H49" i="10"/>
  <c r="G49" i="10" s="1"/>
  <c r="H50" i="10"/>
  <c r="G50" i="10" s="1"/>
  <c r="H51" i="10"/>
  <c r="G51" i="10" s="1"/>
  <c r="H52" i="10"/>
  <c r="G52" i="10" s="1"/>
  <c r="H53" i="10"/>
  <c r="G53" i="10" s="1"/>
  <c r="H54" i="10"/>
  <c r="G54" i="10" s="1"/>
  <c r="H55" i="10"/>
  <c r="G55" i="10" s="1"/>
  <c r="H56" i="10"/>
  <c r="G56" i="10" s="1"/>
  <c r="H57" i="10"/>
  <c r="G57" i="10" s="1"/>
  <c r="H58" i="10"/>
  <c r="G58" i="10" s="1"/>
  <c r="H59" i="10"/>
  <c r="G59" i="10" s="1"/>
  <c r="H60" i="10"/>
  <c r="G60" i="10" s="1"/>
  <c r="H61" i="10"/>
  <c r="G61" i="10" s="1"/>
  <c r="H62" i="10"/>
  <c r="G62" i="10" s="1"/>
  <c r="H63" i="10"/>
  <c r="G63" i="10" s="1"/>
  <c r="H64" i="10"/>
  <c r="G64" i="10" s="1"/>
  <c r="H65" i="10"/>
  <c r="G65" i="10" s="1"/>
  <c r="H66" i="10"/>
  <c r="G66" i="10" s="1"/>
  <c r="H67" i="10"/>
  <c r="G67" i="10" s="1"/>
  <c r="H68" i="10"/>
  <c r="G68" i="10" s="1"/>
  <c r="H69" i="10"/>
  <c r="G69" i="10" s="1"/>
  <c r="H70" i="10"/>
  <c r="G70" i="10" s="1"/>
  <c r="H71" i="10"/>
  <c r="G71" i="10" s="1"/>
  <c r="H72" i="10"/>
  <c r="G72" i="10" s="1"/>
  <c r="H73" i="10"/>
  <c r="G73" i="10" s="1"/>
  <c r="H74" i="10"/>
  <c r="G74" i="10" s="1"/>
  <c r="H75" i="10"/>
  <c r="G75" i="10" s="1"/>
  <c r="H76" i="10"/>
  <c r="G76" i="10" s="1"/>
  <c r="H77" i="10"/>
  <c r="G77" i="10" s="1"/>
  <c r="H78" i="10"/>
  <c r="G78" i="10" s="1"/>
  <c r="H79" i="10"/>
  <c r="G79" i="10" s="1"/>
  <c r="H80" i="10"/>
  <c r="G80" i="10" s="1"/>
  <c r="H81" i="10"/>
  <c r="G81" i="10" s="1"/>
  <c r="H82" i="10"/>
  <c r="G82" i="10" s="1"/>
  <c r="H83" i="10"/>
  <c r="G83" i="10" s="1"/>
  <c r="H84" i="10"/>
  <c r="G84" i="10" s="1"/>
  <c r="H85" i="10"/>
  <c r="G85" i="10" s="1"/>
  <c r="H86" i="10"/>
  <c r="G86" i="10" s="1"/>
  <c r="H87" i="10"/>
  <c r="G87" i="10" s="1"/>
  <c r="H88" i="10"/>
  <c r="G88" i="10" s="1"/>
  <c r="H89" i="10"/>
  <c r="G89" i="10" s="1"/>
  <c r="H90" i="10"/>
  <c r="G90" i="10" s="1"/>
  <c r="H91" i="10"/>
  <c r="G91" i="10" s="1"/>
  <c r="H92" i="10"/>
  <c r="G92" i="10" s="1"/>
  <c r="H93" i="10"/>
  <c r="G93" i="10" s="1"/>
  <c r="H94" i="10"/>
  <c r="G94" i="10" s="1"/>
  <c r="H95" i="10"/>
  <c r="G95" i="10" s="1"/>
  <c r="H96" i="10"/>
  <c r="G96" i="10" s="1"/>
  <c r="H97" i="10"/>
  <c r="G97" i="10" s="1"/>
  <c r="H98" i="10"/>
  <c r="G98" i="10" s="1"/>
  <c r="H99" i="10"/>
  <c r="G99" i="10" s="1"/>
  <c r="H100" i="10"/>
  <c r="G100" i="10" s="1"/>
  <c r="H101" i="10"/>
  <c r="G101" i="10" s="1"/>
  <c r="H102" i="10"/>
  <c r="G102" i="10" s="1"/>
  <c r="H103" i="10"/>
  <c r="G103" i="10" s="1"/>
  <c r="H104" i="10"/>
  <c r="G104" i="10" s="1"/>
  <c r="H105" i="10"/>
  <c r="G105" i="10" s="1"/>
  <c r="H106" i="10"/>
  <c r="G106" i="10" s="1"/>
  <c r="H107" i="10"/>
  <c r="G107" i="10" s="1"/>
  <c r="H108" i="10"/>
  <c r="G108" i="10" s="1"/>
  <c r="H109" i="10"/>
  <c r="G109" i="10" s="1"/>
  <c r="H110" i="10"/>
  <c r="G110" i="10" s="1"/>
  <c r="H111" i="10"/>
  <c r="G111" i="10" s="1"/>
  <c r="H112" i="10"/>
  <c r="G112" i="10" s="1"/>
  <c r="H113" i="10"/>
  <c r="G113" i="10" s="1"/>
  <c r="H114" i="10"/>
  <c r="G114" i="10" s="1"/>
  <c r="H115" i="10"/>
  <c r="G115" i="10" s="1"/>
  <c r="H116" i="10"/>
  <c r="G116" i="10" s="1"/>
  <c r="H117" i="10"/>
  <c r="G117" i="10" s="1"/>
  <c r="H118" i="10"/>
  <c r="G118" i="10" s="1"/>
  <c r="H119" i="10"/>
  <c r="G119" i="10" s="1"/>
  <c r="H120" i="10"/>
  <c r="G120" i="10" s="1"/>
  <c r="H121" i="10"/>
  <c r="G121" i="10" s="1"/>
  <c r="H122" i="10"/>
  <c r="G122" i="10" s="1"/>
  <c r="H123" i="10"/>
  <c r="G123" i="10" s="1"/>
  <c r="H124" i="10"/>
  <c r="G124" i="10" s="1"/>
  <c r="H125" i="10"/>
  <c r="G125" i="10" s="1"/>
  <c r="H126" i="10"/>
  <c r="G126" i="10" s="1"/>
  <c r="H127" i="10"/>
  <c r="G127" i="10" s="1"/>
  <c r="H128" i="10"/>
  <c r="G128" i="10" s="1"/>
  <c r="H129" i="10"/>
  <c r="G129" i="10" s="1"/>
  <c r="H130" i="10"/>
  <c r="G130" i="10" s="1"/>
  <c r="H131" i="10"/>
  <c r="G131" i="10" s="1"/>
  <c r="H133" i="10"/>
  <c r="G133" i="10" s="1"/>
  <c r="H134" i="10"/>
  <c r="G134" i="10" s="1"/>
  <c r="H135" i="10"/>
  <c r="G135" i="10" s="1"/>
  <c r="H136" i="10"/>
  <c r="G136" i="10" s="1"/>
  <c r="H137" i="10"/>
  <c r="G137" i="10" s="1"/>
  <c r="H138" i="10"/>
  <c r="G138" i="10" s="1"/>
  <c r="H139" i="10"/>
  <c r="G139" i="10" s="1"/>
  <c r="H140" i="10"/>
  <c r="G140" i="10" s="1"/>
  <c r="H141" i="10"/>
  <c r="G141" i="10" s="1"/>
  <c r="H142" i="10"/>
  <c r="G142" i="10" s="1"/>
  <c r="H143" i="10"/>
  <c r="G143" i="10" s="1"/>
  <c r="H144" i="10"/>
  <c r="G144" i="10" s="1"/>
  <c r="H145" i="10"/>
  <c r="G145" i="10" s="1"/>
  <c r="H146" i="10"/>
  <c r="G146" i="10" s="1"/>
  <c r="H147" i="10"/>
  <c r="G147" i="10" s="1"/>
  <c r="H148" i="10"/>
  <c r="G148" i="10" s="1"/>
  <c r="H149" i="10"/>
  <c r="G149" i="10" s="1"/>
  <c r="H150" i="10"/>
  <c r="G150" i="10" s="1"/>
  <c r="H151" i="10"/>
  <c r="G151" i="10" s="1"/>
  <c r="H152" i="10"/>
  <c r="G152" i="10" s="1"/>
  <c r="H153" i="10"/>
  <c r="G153" i="10" s="1"/>
  <c r="H154" i="10"/>
  <c r="G154" i="10" s="1"/>
  <c r="H155" i="10"/>
  <c r="G155" i="10" s="1"/>
  <c r="H156" i="10"/>
  <c r="G156" i="10" s="1"/>
  <c r="H157" i="10"/>
  <c r="G157" i="10" s="1"/>
  <c r="H158" i="10"/>
  <c r="G158" i="10" s="1"/>
  <c r="H159" i="10"/>
  <c r="G159" i="10" s="1"/>
  <c r="H160" i="10"/>
  <c r="G160" i="10" s="1"/>
  <c r="H161" i="10"/>
  <c r="G161" i="10" s="1"/>
  <c r="H162" i="10"/>
  <c r="G162" i="10" s="1"/>
  <c r="H163" i="10"/>
  <c r="G163" i="10" s="1"/>
  <c r="H164" i="10"/>
  <c r="G164" i="10" s="1"/>
  <c r="H165" i="10"/>
  <c r="G165" i="10" s="1"/>
  <c r="H166" i="10"/>
  <c r="G166" i="10" s="1"/>
  <c r="H167" i="10"/>
  <c r="G167" i="10" s="1"/>
  <c r="H168" i="10"/>
  <c r="G168" i="10" s="1"/>
  <c r="H169" i="10"/>
  <c r="G169" i="10" s="1"/>
  <c r="H170" i="10"/>
  <c r="G170" i="10" s="1"/>
  <c r="H179" i="10"/>
  <c r="G179" i="10" s="1"/>
  <c r="H180" i="10"/>
  <c r="G180" i="10" s="1"/>
  <c r="H181" i="10"/>
  <c r="G181" i="10" s="1"/>
  <c r="H182" i="10"/>
  <c r="G182" i="10" s="1"/>
  <c r="H183" i="10"/>
  <c r="G183" i="10" s="1"/>
  <c r="H184" i="10"/>
  <c r="G184" i="10" s="1"/>
  <c r="H185" i="10"/>
  <c r="G185" i="10" s="1"/>
  <c r="H186" i="10"/>
  <c r="G186" i="10" s="1"/>
  <c r="H187" i="10"/>
  <c r="G187" i="10" s="1"/>
  <c r="H189" i="10"/>
  <c r="G189" i="10" s="1"/>
  <c r="H190" i="10"/>
  <c r="G190" i="10" s="1"/>
  <c r="H191" i="10"/>
  <c r="G191" i="10" s="1"/>
  <c r="H192" i="10"/>
  <c r="G192" i="10" s="1"/>
  <c r="H193" i="10"/>
  <c r="G193" i="10" s="1"/>
  <c r="H194" i="10"/>
  <c r="G194" i="10" s="1"/>
  <c r="H195" i="10"/>
  <c r="G195" i="10" s="1"/>
  <c r="H196" i="10"/>
  <c r="G196" i="10" s="1"/>
  <c r="H197" i="10"/>
  <c r="G197" i="10" s="1"/>
  <c r="H198" i="10"/>
  <c r="G198" i="10" s="1"/>
  <c r="H199" i="10"/>
  <c r="G199" i="10" s="1"/>
  <c r="H200" i="10"/>
  <c r="G200" i="10" s="1"/>
  <c r="H201" i="10"/>
  <c r="G201" i="10" s="1"/>
  <c r="H202" i="10"/>
  <c r="G202" i="10" s="1"/>
  <c r="H203" i="10"/>
  <c r="G203" i="10" s="1"/>
  <c r="H204" i="10"/>
  <c r="G204" i="10" s="1"/>
  <c r="H205" i="10"/>
  <c r="G205" i="10" s="1"/>
  <c r="H206" i="10"/>
  <c r="G206" i="10" s="1"/>
  <c r="H207" i="10"/>
  <c r="G207" i="10" s="1"/>
  <c r="H208" i="10"/>
  <c r="G208" i="10" s="1"/>
  <c r="H209" i="10"/>
  <c r="G209" i="10" s="1"/>
  <c r="H210" i="10"/>
  <c r="G210" i="10" s="1"/>
  <c r="H211" i="10"/>
  <c r="G211" i="10" s="1"/>
  <c r="H212" i="10"/>
  <c r="G212" i="10" s="1"/>
  <c r="H213" i="10"/>
  <c r="G213" i="10" s="1"/>
  <c r="H214" i="10"/>
  <c r="G214" i="10" s="1"/>
  <c r="H215" i="10"/>
  <c r="G215" i="10" s="1"/>
  <c r="H216" i="10"/>
  <c r="G216" i="10" s="1"/>
  <c r="H217" i="10"/>
  <c r="G217" i="10" s="1"/>
  <c r="H218" i="10"/>
  <c r="G218" i="10" s="1"/>
  <c r="H219" i="10"/>
  <c r="G219" i="10" s="1"/>
  <c r="H220" i="10"/>
  <c r="G220" i="10" s="1"/>
  <c r="H221" i="10"/>
  <c r="G221" i="10" s="1"/>
  <c r="H222" i="10"/>
  <c r="G222" i="10" s="1"/>
  <c r="H223" i="10"/>
  <c r="G223" i="10" s="1"/>
  <c r="H224" i="10"/>
  <c r="G224" i="10" s="1"/>
  <c r="H225" i="10"/>
  <c r="G225" i="10" s="1"/>
  <c r="H226" i="10"/>
  <c r="G226" i="10" s="1"/>
  <c r="H227" i="10"/>
  <c r="G227" i="10" s="1"/>
  <c r="H228" i="10"/>
  <c r="G228" i="10" s="1"/>
  <c r="H229" i="10"/>
  <c r="G229" i="10" s="1"/>
  <c r="H230" i="10"/>
  <c r="G230" i="10" s="1"/>
  <c r="H231" i="10"/>
  <c r="G231" i="10" s="1"/>
  <c r="H232" i="10"/>
  <c r="G232" i="10" s="1"/>
  <c r="H233" i="10"/>
  <c r="G233" i="10" s="1"/>
  <c r="H234" i="10"/>
  <c r="G234" i="10" s="1"/>
  <c r="H235" i="10"/>
  <c r="G235" i="10" s="1"/>
  <c r="H236" i="10"/>
  <c r="G236" i="10" s="1"/>
  <c r="H237" i="10"/>
  <c r="G237" i="10" s="1"/>
  <c r="H238" i="10"/>
  <c r="G238" i="10" s="1"/>
  <c r="H239" i="10"/>
  <c r="G239" i="10" s="1"/>
  <c r="H240" i="10"/>
  <c r="G240" i="10" s="1"/>
  <c r="H241" i="10"/>
  <c r="G241" i="10" s="1"/>
  <c r="H242" i="10"/>
  <c r="G242" i="10" s="1"/>
  <c r="H243" i="10"/>
  <c r="G243" i="10" s="1"/>
  <c r="H9" i="10"/>
  <c r="G9" i="10" s="1"/>
  <c r="O215" i="1"/>
  <c r="E215" i="1"/>
  <c r="H215" i="1" s="1"/>
  <c r="F215" i="1"/>
  <c r="O208" i="1"/>
  <c r="E208" i="1"/>
  <c r="F208" i="1"/>
  <c r="O28" i="1"/>
  <c r="O29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4" i="1"/>
  <c r="O213" i="1"/>
  <c r="O212" i="1"/>
  <c r="O211" i="1"/>
  <c r="O210" i="1"/>
  <c r="O209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D8" i="2"/>
  <c r="D7" i="2"/>
  <c r="D6" i="2"/>
  <c r="D5" i="2"/>
  <c r="D4" i="2"/>
  <c r="D3" i="2"/>
  <c r="D2" i="2"/>
  <c r="D57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9" i="2"/>
  <c r="E741" i="1"/>
  <c r="H741" i="1" s="1"/>
  <c r="E740" i="1"/>
  <c r="H740" i="1" s="1"/>
  <c r="E739" i="1"/>
  <c r="H739" i="1" s="1"/>
  <c r="E738" i="1"/>
  <c r="H738" i="1" s="1"/>
  <c r="E737" i="1"/>
  <c r="H737" i="1" s="1"/>
  <c r="E736" i="1"/>
  <c r="H736" i="1" s="1"/>
  <c r="E735" i="1"/>
  <c r="H735" i="1" s="1"/>
  <c r="E734" i="1"/>
  <c r="H734" i="1" s="1"/>
  <c r="E733" i="1"/>
  <c r="H733" i="1" s="1"/>
  <c r="E732" i="1"/>
  <c r="H732" i="1" s="1"/>
  <c r="E731" i="1"/>
  <c r="H731" i="1" s="1"/>
  <c r="E730" i="1"/>
  <c r="H730" i="1" s="1"/>
  <c r="E729" i="1"/>
  <c r="H729" i="1" s="1"/>
  <c r="E728" i="1"/>
  <c r="H728" i="1" s="1"/>
  <c r="E727" i="1"/>
  <c r="H727" i="1" s="1"/>
  <c r="E726" i="1"/>
  <c r="H726" i="1" s="1"/>
  <c r="E725" i="1"/>
  <c r="H725" i="1" s="1"/>
  <c r="E724" i="1"/>
  <c r="H724" i="1" s="1"/>
  <c r="E723" i="1"/>
  <c r="H723" i="1" s="1"/>
  <c r="E722" i="1"/>
  <c r="H722" i="1" s="1"/>
  <c r="E721" i="1"/>
  <c r="H721" i="1" s="1"/>
  <c r="E720" i="1"/>
  <c r="H720" i="1" s="1"/>
  <c r="E719" i="1"/>
  <c r="H719" i="1" s="1"/>
  <c r="E718" i="1"/>
  <c r="H718" i="1" s="1"/>
  <c r="E717" i="1"/>
  <c r="H717" i="1" s="1"/>
  <c r="E716" i="1"/>
  <c r="H716" i="1" s="1"/>
  <c r="E715" i="1"/>
  <c r="H715" i="1" s="1"/>
  <c r="E714" i="1"/>
  <c r="H714" i="1" s="1"/>
  <c r="E713" i="1"/>
  <c r="H713" i="1" s="1"/>
  <c r="E712" i="1"/>
  <c r="H712" i="1" s="1"/>
  <c r="E711" i="1"/>
  <c r="H711" i="1" s="1"/>
  <c r="E710" i="1"/>
  <c r="H710" i="1" s="1"/>
  <c r="E709" i="1"/>
  <c r="H709" i="1" s="1"/>
  <c r="E708" i="1"/>
  <c r="H708" i="1" s="1"/>
  <c r="E707" i="1"/>
  <c r="H707" i="1" s="1"/>
  <c r="E706" i="1"/>
  <c r="H706" i="1" s="1"/>
  <c r="E705" i="1"/>
  <c r="H705" i="1" s="1"/>
  <c r="E704" i="1"/>
  <c r="H704" i="1" s="1"/>
  <c r="E703" i="1"/>
  <c r="H703" i="1" s="1"/>
  <c r="E702" i="1"/>
  <c r="H702" i="1" s="1"/>
  <c r="E701" i="1"/>
  <c r="H701" i="1" s="1"/>
  <c r="E700" i="1"/>
  <c r="H700" i="1" s="1"/>
  <c r="E699" i="1"/>
  <c r="H699" i="1" s="1"/>
  <c r="E698" i="1"/>
  <c r="H698" i="1" s="1"/>
  <c r="E697" i="1"/>
  <c r="H697" i="1" s="1"/>
  <c r="E696" i="1"/>
  <c r="H696" i="1" s="1"/>
  <c r="E695" i="1"/>
  <c r="H695" i="1" s="1"/>
  <c r="E694" i="1"/>
  <c r="H694" i="1" s="1"/>
  <c r="E693" i="1"/>
  <c r="H693" i="1" s="1"/>
  <c r="E692" i="1"/>
  <c r="H692" i="1" s="1"/>
  <c r="E691" i="1"/>
  <c r="H691" i="1" s="1"/>
  <c r="E690" i="1"/>
  <c r="H690" i="1" s="1"/>
  <c r="E689" i="1"/>
  <c r="H689" i="1" s="1"/>
  <c r="E688" i="1"/>
  <c r="H688" i="1" s="1"/>
  <c r="E687" i="1"/>
  <c r="H687" i="1" s="1"/>
  <c r="E686" i="1"/>
  <c r="H686" i="1" s="1"/>
  <c r="E685" i="1"/>
  <c r="H685" i="1" s="1"/>
  <c r="E684" i="1"/>
  <c r="H684" i="1" s="1"/>
  <c r="E683" i="1"/>
  <c r="H683" i="1" s="1"/>
  <c r="E682" i="1"/>
  <c r="H682" i="1" s="1"/>
  <c r="E681" i="1"/>
  <c r="H681" i="1" s="1"/>
  <c r="E680" i="1"/>
  <c r="H680" i="1" s="1"/>
  <c r="E679" i="1"/>
  <c r="H679" i="1" s="1"/>
  <c r="E678" i="1"/>
  <c r="H678" i="1" s="1"/>
  <c r="E677" i="1"/>
  <c r="H677" i="1" s="1"/>
  <c r="E676" i="1"/>
  <c r="H676" i="1" s="1"/>
  <c r="E675" i="1"/>
  <c r="H675" i="1" s="1"/>
  <c r="E674" i="1"/>
  <c r="H674" i="1" s="1"/>
  <c r="E673" i="1"/>
  <c r="H673" i="1" s="1"/>
  <c r="E672" i="1"/>
  <c r="H672" i="1" s="1"/>
  <c r="E671" i="1"/>
  <c r="H671" i="1" s="1"/>
  <c r="E670" i="1"/>
  <c r="H670" i="1" s="1"/>
  <c r="E669" i="1"/>
  <c r="H669" i="1" s="1"/>
  <c r="E668" i="1"/>
  <c r="H668" i="1" s="1"/>
  <c r="E667" i="1"/>
  <c r="H667" i="1" s="1"/>
  <c r="E666" i="1"/>
  <c r="H666" i="1" s="1"/>
  <c r="E665" i="1"/>
  <c r="H665" i="1" s="1"/>
  <c r="E664" i="1"/>
  <c r="H664" i="1" s="1"/>
  <c r="E663" i="1"/>
  <c r="H663" i="1" s="1"/>
  <c r="E662" i="1"/>
  <c r="H662" i="1" s="1"/>
  <c r="E661" i="1"/>
  <c r="H661" i="1" s="1"/>
  <c r="E660" i="1"/>
  <c r="H660" i="1" s="1"/>
  <c r="E659" i="1"/>
  <c r="H659" i="1" s="1"/>
  <c r="E658" i="1"/>
  <c r="H658" i="1" s="1"/>
  <c r="E657" i="1"/>
  <c r="H657" i="1" s="1"/>
  <c r="E656" i="1"/>
  <c r="H656" i="1" s="1"/>
  <c r="E655" i="1"/>
  <c r="H655" i="1" s="1"/>
  <c r="E654" i="1"/>
  <c r="H654" i="1" s="1"/>
  <c r="E653" i="1"/>
  <c r="H653" i="1" s="1"/>
  <c r="E652" i="1"/>
  <c r="H652" i="1" s="1"/>
  <c r="E651" i="1"/>
  <c r="H651" i="1" s="1"/>
  <c r="E650" i="1"/>
  <c r="H650" i="1" s="1"/>
  <c r="E649" i="1"/>
  <c r="H649" i="1" s="1"/>
  <c r="E648" i="1"/>
  <c r="H648" i="1" s="1"/>
  <c r="E647" i="1"/>
  <c r="H647" i="1" s="1"/>
  <c r="E646" i="1"/>
  <c r="H646" i="1" s="1"/>
  <c r="E645" i="1"/>
  <c r="H645" i="1" s="1"/>
  <c r="E644" i="1"/>
  <c r="H644" i="1" s="1"/>
  <c r="E643" i="1"/>
  <c r="H643" i="1" s="1"/>
  <c r="E642" i="1"/>
  <c r="H642" i="1" s="1"/>
  <c r="E641" i="1"/>
  <c r="H641" i="1" s="1"/>
  <c r="E640" i="1"/>
  <c r="H640" i="1" s="1"/>
  <c r="E639" i="1"/>
  <c r="H639" i="1" s="1"/>
  <c r="E638" i="1"/>
  <c r="H638" i="1" s="1"/>
  <c r="E637" i="1"/>
  <c r="H637" i="1" s="1"/>
  <c r="E636" i="1"/>
  <c r="H636" i="1" s="1"/>
  <c r="E635" i="1"/>
  <c r="H635" i="1" s="1"/>
  <c r="E634" i="1"/>
  <c r="H634" i="1" s="1"/>
  <c r="E633" i="1"/>
  <c r="H633" i="1" s="1"/>
  <c r="E632" i="1"/>
  <c r="H632" i="1" s="1"/>
  <c r="E631" i="1"/>
  <c r="H631" i="1" s="1"/>
  <c r="E630" i="1"/>
  <c r="H630" i="1" s="1"/>
  <c r="E629" i="1"/>
  <c r="H629" i="1" s="1"/>
  <c r="E628" i="1"/>
  <c r="H628" i="1" s="1"/>
  <c r="E627" i="1"/>
  <c r="H627" i="1" s="1"/>
  <c r="E626" i="1"/>
  <c r="H626" i="1" s="1"/>
  <c r="E625" i="1"/>
  <c r="H625" i="1" s="1"/>
  <c r="E624" i="1"/>
  <c r="H624" i="1" s="1"/>
  <c r="E623" i="1"/>
  <c r="H623" i="1" s="1"/>
  <c r="E622" i="1"/>
  <c r="H622" i="1" s="1"/>
  <c r="E621" i="1"/>
  <c r="H621" i="1" s="1"/>
  <c r="E620" i="1"/>
  <c r="H620" i="1" s="1"/>
  <c r="E619" i="1"/>
  <c r="H619" i="1" s="1"/>
  <c r="E618" i="1"/>
  <c r="H618" i="1" s="1"/>
  <c r="E617" i="1"/>
  <c r="H617" i="1" s="1"/>
  <c r="E616" i="1"/>
  <c r="H616" i="1" s="1"/>
  <c r="E615" i="1"/>
  <c r="H615" i="1" s="1"/>
  <c r="E614" i="1"/>
  <c r="H614" i="1" s="1"/>
  <c r="E613" i="1"/>
  <c r="H613" i="1" s="1"/>
  <c r="E612" i="1"/>
  <c r="H612" i="1" s="1"/>
  <c r="E611" i="1"/>
  <c r="H611" i="1" s="1"/>
  <c r="E610" i="1"/>
  <c r="H610" i="1" s="1"/>
  <c r="E609" i="1"/>
  <c r="H609" i="1" s="1"/>
  <c r="E608" i="1"/>
  <c r="H608" i="1" s="1"/>
  <c r="E607" i="1"/>
  <c r="H607" i="1" s="1"/>
  <c r="E606" i="1"/>
  <c r="H606" i="1" s="1"/>
  <c r="E605" i="1"/>
  <c r="H605" i="1" s="1"/>
  <c r="E604" i="1"/>
  <c r="H604" i="1" s="1"/>
  <c r="E603" i="1"/>
  <c r="H603" i="1" s="1"/>
  <c r="E602" i="1"/>
  <c r="H602" i="1" s="1"/>
  <c r="E601" i="1"/>
  <c r="H601" i="1" s="1"/>
  <c r="E600" i="1"/>
  <c r="H600" i="1" s="1"/>
  <c r="E599" i="1"/>
  <c r="H599" i="1" s="1"/>
  <c r="E598" i="1"/>
  <c r="H598" i="1" s="1"/>
  <c r="E597" i="1"/>
  <c r="H597" i="1" s="1"/>
  <c r="E596" i="1"/>
  <c r="H596" i="1" s="1"/>
  <c r="E595" i="1"/>
  <c r="H595" i="1" s="1"/>
  <c r="E594" i="1"/>
  <c r="H594" i="1" s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H499" i="1" s="1"/>
  <c r="E498" i="1"/>
  <c r="H498" i="1" s="1"/>
  <c r="E497" i="1"/>
  <c r="H497" i="1" s="1"/>
  <c r="E496" i="1"/>
  <c r="H496" i="1" s="1"/>
  <c r="E495" i="1"/>
  <c r="H495" i="1" s="1"/>
  <c r="E494" i="1"/>
  <c r="H494" i="1" s="1"/>
  <c r="E493" i="1"/>
  <c r="H493" i="1" s="1"/>
  <c r="E492" i="1"/>
  <c r="H492" i="1" s="1"/>
  <c r="E491" i="1"/>
  <c r="H491" i="1" s="1"/>
  <c r="E490" i="1"/>
  <c r="H490" i="1" s="1"/>
  <c r="E489" i="1"/>
  <c r="H489" i="1" s="1"/>
  <c r="E488" i="1"/>
  <c r="H488" i="1" s="1"/>
  <c r="E487" i="1"/>
  <c r="H487" i="1" s="1"/>
  <c r="E486" i="1"/>
  <c r="H486" i="1" s="1"/>
  <c r="E485" i="1"/>
  <c r="H485" i="1" s="1"/>
  <c r="E484" i="1"/>
  <c r="H484" i="1" s="1"/>
  <c r="E483" i="1"/>
  <c r="H483" i="1" s="1"/>
  <c r="E482" i="1"/>
  <c r="H482" i="1" s="1"/>
  <c r="E481" i="1"/>
  <c r="H481" i="1" s="1"/>
  <c r="E480" i="1"/>
  <c r="H480" i="1" s="1"/>
  <c r="E479" i="1"/>
  <c r="H479" i="1" s="1"/>
  <c r="E478" i="1"/>
  <c r="H478" i="1" s="1"/>
  <c r="E477" i="1"/>
  <c r="H477" i="1" s="1"/>
  <c r="E476" i="1"/>
  <c r="H476" i="1" s="1"/>
  <c r="E475" i="1"/>
  <c r="H475" i="1" s="1"/>
  <c r="E474" i="1"/>
  <c r="H474" i="1" s="1"/>
  <c r="E473" i="1"/>
  <c r="H473" i="1" s="1"/>
  <c r="E472" i="1"/>
  <c r="H472" i="1" s="1"/>
  <c r="E471" i="1"/>
  <c r="H471" i="1" s="1"/>
  <c r="E470" i="1"/>
  <c r="H470" i="1" s="1"/>
  <c r="E469" i="1"/>
  <c r="H469" i="1" s="1"/>
  <c r="E468" i="1"/>
  <c r="H468" i="1" s="1"/>
  <c r="E467" i="1"/>
  <c r="H467" i="1" s="1"/>
  <c r="E466" i="1"/>
  <c r="H466" i="1" s="1"/>
  <c r="E465" i="1"/>
  <c r="H465" i="1" s="1"/>
  <c r="E464" i="1"/>
  <c r="H464" i="1" s="1"/>
  <c r="E463" i="1"/>
  <c r="H463" i="1" s="1"/>
  <c r="E462" i="1"/>
  <c r="H462" i="1" s="1"/>
  <c r="E461" i="1"/>
  <c r="H461" i="1" s="1"/>
  <c r="E460" i="1"/>
  <c r="H460" i="1" s="1"/>
  <c r="E459" i="1"/>
  <c r="H459" i="1" s="1"/>
  <c r="E458" i="1"/>
  <c r="H458" i="1" s="1"/>
  <c r="E457" i="1"/>
  <c r="H457" i="1" s="1"/>
  <c r="E456" i="1"/>
  <c r="H456" i="1" s="1"/>
  <c r="E455" i="1"/>
  <c r="H455" i="1" s="1"/>
  <c r="E454" i="1"/>
  <c r="H454" i="1" s="1"/>
  <c r="E453" i="1"/>
  <c r="H453" i="1" s="1"/>
  <c r="E452" i="1"/>
  <c r="H452" i="1" s="1"/>
  <c r="E451" i="1"/>
  <c r="H451" i="1" s="1"/>
  <c r="E450" i="1"/>
  <c r="H450" i="1" s="1"/>
  <c r="E449" i="1"/>
  <c r="H449" i="1" s="1"/>
  <c r="E448" i="1"/>
  <c r="H448" i="1" s="1"/>
  <c r="E447" i="1"/>
  <c r="H447" i="1" s="1"/>
  <c r="E446" i="1"/>
  <c r="H446" i="1" s="1"/>
  <c r="E445" i="1"/>
  <c r="H445" i="1" s="1"/>
  <c r="E444" i="1"/>
  <c r="H444" i="1" s="1"/>
  <c r="E443" i="1"/>
  <c r="H443" i="1" s="1"/>
  <c r="E442" i="1"/>
  <c r="H442" i="1" s="1"/>
  <c r="E441" i="1"/>
  <c r="H441" i="1" s="1"/>
  <c r="E440" i="1"/>
  <c r="H440" i="1" s="1"/>
  <c r="E439" i="1"/>
  <c r="H439" i="1" s="1"/>
  <c r="E438" i="1"/>
  <c r="H438" i="1" s="1"/>
  <c r="E437" i="1"/>
  <c r="H437" i="1" s="1"/>
  <c r="E436" i="1"/>
  <c r="H436" i="1" s="1"/>
  <c r="E435" i="1"/>
  <c r="H435" i="1" s="1"/>
  <c r="E434" i="1"/>
  <c r="H434" i="1" s="1"/>
  <c r="E433" i="1"/>
  <c r="H433" i="1" s="1"/>
  <c r="E432" i="1"/>
  <c r="H432" i="1" s="1"/>
  <c r="E431" i="1"/>
  <c r="H431" i="1" s="1"/>
  <c r="E430" i="1"/>
  <c r="H430" i="1" s="1"/>
  <c r="E429" i="1"/>
  <c r="H429" i="1" s="1"/>
  <c r="E428" i="1"/>
  <c r="H428" i="1" s="1"/>
  <c r="E427" i="1"/>
  <c r="H427" i="1" s="1"/>
  <c r="E426" i="1"/>
  <c r="H426" i="1" s="1"/>
  <c r="E425" i="1"/>
  <c r="H425" i="1" s="1"/>
  <c r="E424" i="1"/>
  <c r="H424" i="1" s="1"/>
  <c r="E423" i="1"/>
  <c r="H423" i="1" s="1"/>
  <c r="E422" i="1"/>
  <c r="H422" i="1" s="1"/>
  <c r="E421" i="1"/>
  <c r="H421" i="1" s="1"/>
  <c r="E420" i="1"/>
  <c r="H420" i="1" s="1"/>
  <c r="E419" i="1"/>
  <c r="H419" i="1" s="1"/>
  <c r="E418" i="1"/>
  <c r="H418" i="1" s="1"/>
  <c r="E417" i="1"/>
  <c r="H417" i="1" s="1"/>
  <c r="E416" i="1"/>
  <c r="H416" i="1" s="1"/>
  <c r="E415" i="1"/>
  <c r="H415" i="1" s="1"/>
  <c r="E414" i="1"/>
  <c r="H414" i="1" s="1"/>
  <c r="E413" i="1"/>
  <c r="H413" i="1" s="1"/>
  <c r="E412" i="1"/>
  <c r="H412" i="1" s="1"/>
  <c r="E411" i="1"/>
  <c r="H411" i="1" s="1"/>
  <c r="E410" i="1"/>
  <c r="H410" i="1" s="1"/>
  <c r="E409" i="1"/>
  <c r="H409" i="1" s="1"/>
  <c r="E408" i="1"/>
  <c r="H408" i="1" s="1"/>
  <c r="E407" i="1"/>
  <c r="H407" i="1" s="1"/>
  <c r="E406" i="1"/>
  <c r="H406" i="1" s="1"/>
  <c r="E405" i="1"/>
  <c r="H405" i="1" s="1"/>
  <c r="E404" i="1"/>
  <c r="H404" i="1" s="1"/>
  <c r="E403" i="1"/>
  <c r="H403" i="1" s="1"/>
  <c r="E402" i="1"/>
  <c r="H402" i="1" s="1"/>
  <c r="E401" i="1"/>
  <c r="H401" i="1" s="1"/>
  <c r="E400" i="1"/>
  <c r="H400" i="1" s="1"/>
  <c r="E399" i="1"/>
  <c r="H399" i="1" s="1"/>
  <c r="E398" i="1"/>
  <c r="H398" i="1" s="1"/>
  <c r="E397" i="1"/>
  <c r="H397" i="1" s="1"/>
  <c r="E396" i="1"/>
  <c r="H396" i="1" s="1"/>
  <c r="E395" i="1"/>
  <c r="H395" i="1" s="1"/>
  <c r="E394" i="1"/>
  <c r="H394" i="1" s="1"/>
  <c r="E393" i="1"/>
  <c r="H393" i="1" s="1"/>
  <c r="E392" i="1"/>
  <c r="H392" i="1" s="1"/>
  <c r="E391" i="1"/>
  <c r="H391" i="1" s="1"/>
  <c r="E390" i="1"/>
  <c r="H390" i="1" s="1"/>
  <c r="E389" i="1"/>
  <c r="H389" i="1" s="1"/>
  <c r="E388" i="1"/>
  <c r="H388" i="1" s="1"/>
  <c r="E387" i="1"/>
  <c r="H387" i="1" s="1"/>
  <c r="E386" i="1"/>
  <c r="H386" i="1" s="1"/>
  <c r="E385" i="1"/>
  <c r="H385" i="1" s="1"/>
  <c r="E384" i="1"/>
  <c r="H384" i="1" s="1"/>
  <c r="E383" i="1"/>
  <c r="H383" i="1" s="1"/>
  <c r="E382" i="1"/>
  <c r="H382" i="1" s="1"/>
  <c r="E381" i="1"/>
  <c r="H381" i="1" s="1"/>
  <c r="E380" i="1"/>
  <c r="H380" i="1" s="1"/>
  <c r="E379" i="1"/>
  <c r="H379" i="1" s="1"/>
  <c r="E378" i="1"/>
  <c r="H378" i="1" s="1"/>
  <c r="E377" i="1"/>
  <c r="H377" i="1" s="1"/>
  <c r="E376" i="1"/>
  <c r="H376" i="1" s="1"/>
  <c r="E375" i="1"/>
  <c r="H375" i="1" s="1"/>
  <c r="E374" i="1"/>
  <c r="H374" i="1" s="1"/>
  <c r="E373" i="1"/>
  <c r="H373" i="1" s="1"/>
  <c r="E372" i="1"/>
  <c r="H372" i="1" s="1"/>
  <c r="E371" i="1"/>
  <c r="H371" i="1" s="1"/>
  <c r="E369" i="1"/>
  <c r="H369" i="1" s="1"/>
  <c r="E368" i="1"/>
  <c r="H368" i="1" s="1"/>
  <c r="E367" i="1"/>
  <c r="H367" i="1" s="1"/>
  <c r="E366" i="1"/>
  <c r="H366" i="1" s="1"/>
  <c r="E365" i="1"/>
  <c r="H365" i="1" s="1"/>
  <c r="E364" i="1"/>
  <c r="H364" i="1" s="1"/>
  <c r="E363" i="1"/>
  <c r="H363" i="1" s="1"/>
  <c r="E362" i="1"/>
  <c r="H362" i="1" s="1"/>
  <c r="E361" i="1"/>
  <c r="H361" i="1" s="1"/>
  <c r="E360" i="1"/>
  <c r="H360" i="1" s="1"/>
  <c r="E359" i="1"/>
  <c r="H359" i="1" s="1"/>
  <c r="E358" i="1"/>
  <c r="H358" i="1" s="1"/>
  <c r="E357" i="1"/>
  <c r="H357" i="1" s="1"/>
  <c r="E356" i="1"/>
  <c r="H356" i="1" s="1"/>
  <c r="E355" i="1"/>
  <c r="H355" i="1" s="1"/>
  <c r="E354" i="1"/>
  <c r="H354" i="1" s="1"/>
  <c r="E353" i="1"/>
  <c r="H353" i="1" s="1"/>
  <c r="E352" i="1"/>
  <c r="H352" i="1" s="1"/>
  <c r="E351" i="1"/>
  <c r="H351" i="1" s="1"/>
  <c r="E350" i="1"/>
  <c r="H350" i="1" s="1"/>
  <c r="E349" i="1"/>
  <c r="H349" i="1" s="1"/>
  <c r="E348" i="1"/>
  <c r="H348" i="1" s="1"/>
  <c r="E347" i="1"/>
  <c r="H347" i="1" s="1"/>
  <c r="E346" i="1"/>
  <c r="H346" i="1" s="1"/>
  <c r="E345" i="1"/>
  <c r="H345" i="1" s="1"/>
  <c r="E344" i="1"/>
  <c r="H344" i="1" s="1"/>
  <c r="E343" i="1"/>
  <c r="H343" i="1" s="1"/>
  <c r="E342" i="1"/>
  <c r="H342" i="1" s="1"/>
  <c r="E341" i="1"/>
  <c r="H341" i="1" s="1"/>
  <c r="E340" i="1"/>
  <c r="H340" i="1" s="1"/>
  <c r="E339" i="1"/>
  <c r="H339" i="1" s="1"/>
  <c r="E338" i="1"/>
  <c r="H338" i="1" s="1"/>
  <c r="E337" i="1"/>
  <c r="H337" i="1" s="1"/>
  <c r="E336" i="1"/>
  <c r="H336" i="1" s="1"/>
  <c r="E335" i="1"/>
  <c r="H335" i="1" s="1"/>
  <c r="E334" i="1"/>
  <c r="H334" i="1" s="1"/>
  <c r="E333" i="1"/>
  <c r="H333" i="1" s="1"/>
  <c r="E332" i="1"/>
  <c r="H332" i="1" s="1"/>
  <c r="E331" i="1"/>
  <c r="H331" i="1" s="1"/>
  <c r="E330" i="1"/>
  <c r="H330" i="1" s="1"/>
  <c r="E329" i="1"/>
  <c r="H329" i="1" s="1"/>
  <c r="E328" i="1"/>
  <c r="H328" i="1" s="1"/>
  <c r="E327" i="1"/>
  <c r="H327" i="1" s="1"/>
  <c r="E326" i="1"/>
  <c r="H326" i="1" s="1"/>
  <c r="E325" i="1"/>
  <c r="H325" i="1" s="1"/>
  <c r="E324" i="1"/>
  <c r="H324" i="1" s="1"/>
  <c r="E323" i="1"/>
  <c r="H323" i="1" s="1"/>
  <c r="E322" i="1"/>
  <c r="H322" i="1" s="1"/>
  <c r="E321" i="1"/>
  <c r="H321" i="1" s="1"/>
  <c r="E320" i="1"/>
  <c r="H320" i="1" s="1"/>
  <c r="E319" i="1"/>
  <c r="H319" i="1" s="1"/>
  <c r="E318" i="1"/>
  <c r="H318" i="1" s="1"/>
  <c r="E317" i="1"/>
  <c r="H317" i="1" s="1"/>
  <c r="E316" i="1"/>
  <c r="H316" i="1" s="1"/>
  <c r="E315" i="1"/>
  <c r="H315" i="1" s="1"/>
  <c r="E314" i="1"/>
  <c r="H314" i="1" s="1"/>
  <c r="E313" i="1"/>
  <c r="H313" i="1" s="1"/>
  <c r="E312" i="1"/>
  <c r="H312" i="1" s="1"/>
  <c r="E311" i="1"/>
  <c r="H311" i="1" s="1"/>
  <c r="E310" i="1"/>
  <c r="H310" i="1" s="1"/>
  <c r="E309" i="1"/>
  <c r="H309" i="1" s="1"/>
  <c r="E308" i="1"/>
  <c r="H308" i="1" s="1"/>
  <c r="E307" i="1"/>
  <c r="H307" i="1" s="1"/>
  <c r="E306" i="1"/>
  <c r="H306" i="1" s="1"/>
  <c r="E305" i="1"/>
  <c r="H305" i="1" s="1"/>
  <c r="E304" i="1"/>
  <c r="H304" i="1" s="1"/>
  <c r="E303" i="1"/>
  <c r="H303" i="1" s="1"/>
  <c r="E302" i="1"/>
  <c r="H302" i="1" s="1"/>
  <c r="E301" i="1"/>
  <c r="H301" i="1" s="1"/>
  <c r="E300" i="1"/>
  <c r="H300" i="1" s="1"/>
  <c r="E299" i="1"/>
  <c r="H299" i="1" s="1"/>
  <c r="E298" i="1"/>
  <c r="H298" i="1" s="1"/>
  <c r="E297" i="1"/>
  <c r="H297" i="1" s="1"/>
  <c r="E296" i="1"/>
  <c r="H296" i="1" s="1"/>
  <c r="E295" i="1"/>
  <c r="H295" i="1" s="1"/>
  <c r="E294" i="1"/>
  <c r="H294" i="1" s="1"/>
  <c r="E293" i="1"/>
  <c r="H293" i="1" s="1"/>
  <c r="E292" i="1"/>
  <c r="H292" i="1" s="1"/>
  <c r="E291" i="1"/>
  <c r="H291" i="1" s="1"/>
  <c r="E290" i="1"/>
  <c r="H290" i="1" s="1"/>
  <c r="E289" i="1"/>
  <c r="H289" i="1" s="1"/>
  <c r="E288" i="1"/>
  <c r="H288" i="1" s="1"/>
  <c r="E287" i="1"/>
  <c r="H287" i="1" s="1"/>
  <c r="E286" i="1"/>
  <c r="H286" i="1" s="1"/>
  <c r="E285" i="1"/>
  <c r="H285" i="1" s="1"/>
  <c r="E284" i="1"/>
  <c r="H284" i="1" s="1"/>
  <c r="E283" i="1"/>
  <c r="H283" i="1" s="1"/>
  <c r="E282" i="1"/>
  <c r="H282" i="1" s="1"/>
  <c r="E281" i="1"/>
  <c r="H281" i="1" s="1"/>
  <c r="E280" i="1"/>
  <c r="H280" i="1" s="1"/>
  <c r="E279" i="1"/>
  <c r="H279" i="1" s="1"/>
  <c r="E278" i="1"/>
  <c r="H278" i="1" s="1"/>
  <c r="E275" i="1"/>
  <c r="H275" i="1" s="1"/>
  <c r="E274" i="1"/>
  <c r="H274" i="1" s="1"/>
  <c r="E273" i="1"/>
  <c r="H273" i="1" s="1"/>
  <c r="E272" i="1"/>
  <c r="H272" i="1" s="1"/>
  <c r="E271" i="1"/>
  <c r="H271" i="1" s="1"/>
  <c r="E270" i="1"/>
  <c r="H270" i="1" s="1"/>
  <c r="E269" i="1"/>
  <c r="H269" i="1" s="1"/>
  <c r="E268" i="1"/>
  <c r="H268" i="1" s="1"/>
  <c r="E267" i="1"/>
  <c r="H267" i="1" s="1"/>
  <c r="E266" i="1"/>
  <c r="H266" i="1" s="1"/>
  <c r="E265" i="1"/>
  <c r="H265" i="1" s="1"/>
  <c r="E264" i="1"/>
  <c r="H264" i="1" s="1"/>
  <c r="E263" i="1"/>
  <c r="H263" i="1" s="1"/>
  <c r="E262" i="1"/>
  <c r="H262" i="1" s="1"/>
  <c r="E261" i="1"/>
  <c r="H261" i="1" s="1"/>
  <c r="E260" i="1"/>
  <c r="H260" i="1" s="1"/>
  <c r="E259" i="1"/>
  <c r="H259" i="1" s="1"/>
  <c r="E258" i="1"/>
  <c r="H258" i="1" s="1"/>
  <c r="E257" i="1"/>
  <c r="H257" i="1" s="1"/>
  <c r="E256" i="1"/>
  <c r="H256" i="1" s="1"/>
  <c r="E255" i="1"/>
  <c r="H255" i="1" s="1"/>
  <c r="E254" i="1"/>
  <c r="H254" i="1" s="1"/>
  <c r="E253" i="1"/>
  <c r="H253" i="1" s="1"/>
  <c r="E252" i="1"/>
  <c r="H252" i="1" s="1"/>
  <c r="E251" i="1"/>
  <c r="H251" i="1" s="1"/>
  <c r="E250" i="1"/>
  <c r="H250" i="1" s="1"/>
  <c r="E249" i="1"/>
  <c r="H249" i="1" s="1"/>
  <c r="E248" i="1"/>
  <c r="H248" i="1" s="1"/>
  <c r="E247" i="1"/>
  <c r="H247" i="1" s="1"/>
  <c r="E246" i="1"/>
  <c r="H246" i="1" s="1"/>
  <c r="E245" i="1"/>
  <c r="H245" i="1" s="1"/>
  <c r="E244" i="1"/>
  <c r="H244" i="1" s="1"/>
  <c r="E243" i="1"/>
  <c r="H243" i="1" s="1"/>
  <c r="E242" i="1"/>
  <c r="H242" i="1" s="1"/>
  <c r="E241" i="1"/>
  <c r="H241" i="1" s="1"/>
  <c r="E240" i="1"/>
  <c r="H240" i="1" s="1"/>
  <c r="E239" i="1"/>
  <c r="H239" i="1" s="1"/>
  <c r="E238" i="1"/>
  <c r="H238" i="1" s="1"/>
  <c r="E237" i="1"/>
  <c r="H237" i="1" s="1"/>
  <c r="E236" i="1"/>
  <c r="H236" i="1" s="1"/>
  <c r="E235" i="1"/>
  <c r="H235" i="1" s="1"/>
  <c r="E234" i="1"/>
  <c r="H234" i="1" s="1"/>
  <c r="E233" i="1"/>
  <c r="H233" i="1" s="1"/>
  <c r="E232" i="1"/>
  <c r="H232" i="1" s="1"/>
  <c r="E231" i="1"/>
  <c r="H231" i="1" s="1"/>
  <c r="E230" i="1"/>
  <c r="H230" i="1" s="1"/>
  <c r="E229" i="1"/>
  <c r="H229" i="1" s="1"/>
  <c r="E228" i="1"/>
  <c r="H228" i="1" s="1"/>
  <c r="E227" i="1"/>
  <c r="H227" i="1" s="1"/>
  <c r="E226" i="1"/>
  <c r="H226" i="1" s="1"/>
  <c r="E225" i="1"/>
  <c r="H225" i="1" s="1"/>
  <c r="E224" i="1"/>
  <c r="H224" i="1" s="1"/>
  <c r="E223" i="1"/>
  <c r="H223" i="1" s="1"/>
  <c r="E222" i="1"/>
  <c r="H222" i="1" s="1"/>
  <c r="E221" i="1"/>
  <c r="H221" i="1" s="1"/>
  <c r="E220" i="1"/>
  <c r="H220" i="1" s="1"/>
  <c r="E219" i="1"/>
  <c r="H219" i="1" s="1"/>
  <c r="E218" i="1"/>
  <c r="H218" i="1" s="1"/>
  <c r="E217" i="1"/>
  <c r="H217" i="1" s="1"/>
  <c r="E216" i="1"/>
  <c r="H216" i="1" s="1"/>
  <c r="E214" i="1"/>
  <c r="H214" i="1" s="1"/>
  <c r="E213" i="1"/>
  <c r="H213" i="1" s="1"/>
  <c r="E212" i="1"/>
  <c r="H212" i="1" s="1"/>
  <c r="E211" i="1"/>
  <c r="H211" i="1" s="1"/>
  <c r="E210" i="1"/>
  <c r="H210" i="1" s="1"/>
  <c r="E209" i="1"/>
  <c r="H209" i="1" s="1"/>
  <c r="E207" i="1"/>
  <c r="H207" i="1" s="1"/>
  <c r="E206" i="1"/>
  <c r="H206" i="1" s="1"/>
  <c r="E205" i="1"/>
  <c r="H205" i="1" s="1"/>
  <c r="E204" i="1"/>
  <c r="H204" i="1" s="1"/>
  <c r="E203" i="1"/>
  <c r="H203" i="1" s="1"/>
  <c r="E202" i="1"/>
  <c r="H202" i="1" s="1"/>
  <c r="E201" i="1"/>
  <c r="H201" i="1" s="1"/>
  <c r="E200" i="1"/>
  <c r="H200" i="1" s="1"/>
  <c r="E199" i="1"/>
  <c r="H199" i="1" s="1"/>
  <c r="E198" i="1"/>
  <c r="H198" i="1" s="1"/>
  <c r="E197" i="1"/>
  <c r="H197" i="1" s="1"/>
  <c r="E196" i="1"/>
  <c r="H196" i="1" s="1"/>
  <c r="E195" i="1"/>
  <c r="H195" i="1" s="1"/>
  <c r="E194" i="1"/>
  <c r="H194" i="1" s="1"/>
  <c r="E193" i="1"/>
  <c r="H193" i="1" s="1"/>
  <c r="E192" i="1"/>
  <c r="H192" i="1" s="1"/>
  <c r="E191" i="1"/>
  <c r="H191" i="1" s="1"/>
  <c r="E190" i="1"/>
  <c r="H190" i="1" s="1"/>
  <c r="E189" i="1"/>
  <c r="H189" i="1" s="1"/>
  <c r="E188" i="1"/>
  <c r="H188" i="1" s="1"/>
  <c r="E187" i="1"/>
  <c r="H187" i="1" s="1"/>
  <c r="E186" i="1"/>
  <c r="H186" i="1" s="1"/>
  <c r="E185" i="1"/>
  <c r="H185" i="1" s="1"/>
  <c r="E184" i="1"/>
  <c r="H184" i="1" s="1"/>
  <c r="E183" i="1"/>
  <c r="H183" i="1" s="1"/>
  <c r="E182" i="1"/>
  <c r="H182" i="1" s="1"/>
  <c r="E181" i="1"/>
  <c r="H181" i="1" s="1"/>
  <c r="E180" i="1"/>
  <c r="H180" i="1" s="1"/>
  <c r="E179" i="1"/>
  <c r="H179" i="1" s="1"/>
  <c r="E178" i="1"/>
  <c r="H178" i="1" s="1"/>
  <c r="E177" i="1"/>
  <c r="H177" i="1" s="1"/>
  <c r="E176" i="1"/>
  <c r="H176" i="1" s="1"/>
  <c r="E175" i="1"/>
  <c r="H175" i="1" s="1"/>
  <c r="E174" i="1"/>
  <c r="H174" i="1" s="1"/>
  <c r="E173" i="1"/>
  <c r="H173" i="1" s="1"/>
  <c r="E172" i="1"/>
  <c r="H172" i="1" s="1"/>
  <c r="E171" i="1"/>
  <c r="H171" i="1" s="1"/>
  <c r="E170" i="1"/>
  <c r="H170" i="1" s="1"/>
  <c r="E169" i="1"/>
  <c r="H169" i="1" s="1"/>
  <c r="E168" i="1"/>
  <c r="H168" i="1" s="1"/>
  <c r="E167" i="1"/>
  <c r="H167" i="1" s="1"/>
  <c r="E166" i="1"/>
  <c r="H166" i="1" s="1"/>
  <c r="E165" i="1"/>
  <c r="H165" i="1" s="1"/>
  <c r="E164" i="1"/>
  <c r="H164" i="1" s="1"/>
  <c r="E163" i="1"/>
  <c r="H163" i="1" s="1"/>
  <c r="E162" i="1"/>
  <c r="H162" i="1" s="1"/>
  <c r="E161" i="1"/>
  <c r="H161" i="1" s="1"/>
  <c r="E160" i="1"/>
  <c r="H160" i="1" s="1"/>
  <c r="E159" i="1"/>
  <c r="H159" i="1" s="1"/>
  <c r="E158" i="1"/>
  <c r="H158" i="1" s="1"/>
  <c r="E157" i="1"/>
  <c r="H157" i="1" s="1"/>
  <c r="E156" i="1"/>
  <c r="H156" i="1" s="1"/>
  <c r="E155" i="1"/>
  <c r="H155" i="1" s="1"/>
  <c r="E154" i="1"/>
  <c r="H154" i="1" s="1"/>
  <c r="E153" i="1"/>
  <c r="H153" i="1" s="1"/>
  <c r="E152" i="1"/>
  <c r="H152" i="1" s="1"/>
  <c r="E151" i="1"/>
  <c r="H151" i="1" s="1"/>
  <c r="E150" i="1"/>
  <c r="H150" i="1" s="1"/>
  <c r="E149" i="1"/>
  <c r="H149" i="1" s="1"/>
  <c r="E148" i="1"/>
  <c r="H148" i="1" s="1"/>
  <c r="E147" i="1"/>
  <c r="H147" i="1" s="1"/>
  <c r="E146" i="1"/>
  <c r="H146" i="1" s="1"/>
  <c r="E145" i="1"/>
  <c r="H145" i="1" s="1"/>
  <c r="E144" i="1"/>
  <c r="H144" i="1" s="1"/>
  <c r="E143" i="1"/>
  <c r="H143" i="1" s="1"/>
  <c r="E142" i="1"/>
  <c r="H142" i="1" s="1"/>
  <c r="E141" i="1"/>
  <c r="H141" i="1" s="1"/>
  <c r="E140" i="1"/>
  <c r="H140" i="1" s="1"/>
  <c r="E139" i="1"/>
  <c r="H139" i="1" s="1"/>
  <c r="E138" i="1"/>
  <c r="H138" i="1" s="1"/>
  <c r="E137" i="1"/>
  <c r="H137" i="1" s="1"/>
  <c r="E136" i="1"/>
  <c r="H136" i="1" s="1"/>
  <c r="E135" i="1"/>
  <c r="H135" i="1" s="1"/>
  <c r="E134" i="1"/>
  <c r="H134" i="1" s="1"/>
  <c r="E133" i="1"/>
  <c r="H133" i="1" s="1"/>
  <c r="E132" i="1"/>
  <c r="H132" i="1" s="1"/>
  <c r="E131" i="1"/>
  <c r="H131" i="1" s="1"/>
  <c r="E130" i="1"/>
  <c r="H130" i="1" s="1"/>
  <c r="E129" i="1"/>
  <c r="H129" i="1" s="1"/>
  <c r="E128" i="1"/>
  <c r="H128" i="1" s="1"/>
  <c r="E127" i="1"/>
  <c r="H127" i="1" s="1"/>
  <c r="E126" i="1"/>
  <c r="H126" i="1" s="1"/>
  <c r="E125" i="1"/>
  <c r="H125" i="1" s="1"/>
  <c r="E124" i="1"/>
  <c r="H124" i="1" s="1"/>
  <c r="E123" i="1"/>
  <c r="H123" i="1" s="1"/>
  <c r="E122" i="1"/>
  <c r="H122" i="1" s="1"/>
  <c r="E121" i="1"/>
  <c r="H121" i="1" s="1"/>
  <c r="E120" i="1"/>
  <c r="H120" i="1" s="1"/>
  <c r="E119" i="1"/>
  <c r="H119" i="1" s="1"/>
  <c r="E118" i="1"/>
  <c r="H118" i="1" s="1"/>
  <c r="E117" i="1"/>
  <c r="H117" i="1" s="1"/>
  <c r="E116" i="1"/>
  <c r="H116" i="1" s="1"/>
  <c r="E115" i="1"/>
  <c r="H115" i="1" s="1"/>
  <c r="E114" i="1"/>
  <c r="H114" i="1" s="1"/>
  <c r="E113" i="1"/>
  <c r="H113" i="1" s="1"/>
  <c r="E112" i="1"/>
  <c r="H112" i="1" s="1"/>
  <c r="E111" i="1"/>
  <c r="H111" i="1" s="1"/>
  <c r="E110" i="1"/>
  <c r="H110" i="1" s="1"/>
  <c r="E109" i="1"/>
  <c r="H109" i="1" s="1"/>
  <c r="E108" i="1"/>
  <c r="H108" i="1" s="1"/>
  <c r="E107" i="1"/>
  <c r="H107" i="1" s="1"/>
  <c r="E106" i="1"/>
  <c r="H106" i="1" s="1"/>
  <c r="E105" i="1"/>
  <c r="H105" i="1" s="1"/>
  <c r="E104" i="1"/>
  <c r="H104" i="1" s="1"/>
  <c r="E103" i="1"/>
  <c r="H103" i="1" s="1"/>
  <c r="E102" i="1"/>
  <c r="H102" i="1" s="1"/>
  <c r="E101" i="1"/>
  <c r="H101" i="1" s="1"/>
  <c r="E100" i="1"/>
  <c r="H100" i="1" s="1"/>
  <c r="E99" i="1"/>
  <c r="H99" i="1" s="1"/>
  <c r="E98" i="1"/>
  <c r="H98" i="1" s="1"/>
  <c r="E97" i="1"/>
  <c r="H97" i="1" s="1"/>
  <c r="E96" i="1"/>
  <c r="H96" i="1" s="1"/>
  <c r="E95" i="1"/>
  <c r="H95" i="1" s="1"/>
  <c r="E94" i="1"/>
  <c r="H94" i="1" s="1"/>
  <c r="E93" i="1"/>
  <c r="H93" i="1" s="1"/>
  <c r="E92" i="1"/>
  <c r="H92" i="1" s="1"/>
  <c r="E91" i="1"/>
  <c r="H91" i="1" s="1"/>
  <c r="E90" i="1"/>
  <c r="H90" i="1" s="1"/>
  <c r="E89" i="1"/>
  <c r="H89" i="1" s="1"/>
  <c r="E88" i="1"/>
  <c r="H88" i="1" s="1"/>
  <c r="E87" i="1"/>
  <c r="H87" i="1" s="1"/>
  <c r="E86" i="1"/>
  <c r="H86" i="1" s="1"/>
  <c r="E85" i="1"/>
  <c r="H85" i="1" s="1"/>
  <c r="E84" i="1"/>
  <c r="H84" i="1" s="1"/>
  <c r="E83" i="1"/>
  <c r="H83" i="1" s="1"/>
  <c r="E82" i="1"/>
  <c r="H82" i="1" s="1"/>
  <c r="E81" i="1"/>
  <c r="H81" i="1" s="1"/>
  <c r="E80" i="1"/>
  <c r="H80" i="1" s="1"/>
  <c r="E79" i="1"/>
  <c r="H79" i="1" s="1"/>
  <c r="E78" i="1"/>
  <c r="H78" i="1" s="1"/>
  <c r="E77" i="1"/>
  <c r="H77" i="1" s="1"/>
  <c r="E76" i="1"/>
  <c r="H76" i="1" s="1"/>
  <c r="E75" i="1"/>
  <c r="H75" i="1" s="1"/>
  <c r="E74" i="1"/>
  <c r="E73" i="1"/>
  <c r="E72" i="1"/>
  <c r="E71" i="1"/>
  <c r="H71" i="1" s="1"/>
  <c r="E70" i="1"/>
  <c r="H70" i="1" s="1"/>
  <c r="E69" i="1"/>
  <c r="H69" i="1" s="1"/>
  <c r="E68" i="1"/>
  <c r="H68" i="1" s="1"/>
  <c r="E67" i="1"/>
  <c r="H67" i="1" s="1"/>
  <c r="E66" i="1"/>
  <c r="H66" i="1" s="1"/>
  <c r="E65" i="1"/>
  <c r="H65" i="1" s="1"/>
  <c r="E64" i="1"/>
  <c r="H64" i="1" s="1"/>
  <c r="E63" i="1"/>
  <c r="H63" i="1" s="1"/>
  <c r="E62" i="1"/>
  <c r="H62" i="1" s="1"/>
  <c r="E61" i="1"/>
  <c r="H61" i="1" s="1"/>
  <c r="E60" i="1"/>
  <c r="H60" i="1" s="1"/>
  <c r="E59" i="1"/>
  <c r="H59" i="1" s="1"/>
  <c r="E58" i="1"/>
  <c r="H58" i="1" s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4" i="1"/>
  <c r="F213" i="1"/>
  <c r="F212" i="1"/>
  <c r="F211" i="1"/>
  <c r="F210" i="1"/>
  <c r="F209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G370" i="1" l="1"/>
  <c r="J370" i="1"/>
  <c r="K370" i="1"/>
  <c r="J338" i="1"/>
  <c r="J341" i="1"/>
  <c r="J342" i="1"/>
  <c r="J343" i="1"/>
  <c r="J344" i="1"/>
  <c r="G276" i="1"/>
  <c r="J260" i="1"/>
  <c r="K260" i="1"/>
  <c r="J261" i="1"/>
  <c r="K261" i="1"/>
  <c r="J267" i="1"/>
  <c r="K267" i="1"/>
  <c r="J268" i="1"/>
  <c r="K268" i="1"/>
  <c r="J269" i="1"/>
  <c r="K269" i="1"/>
  <c r="J270" i="1"/>
  <c r="K270" i="1"/>
  <c r="J271" i="1"/>
  <c r="K271" i="1"/>
  <c r="J278" i="1"/>
  <c r="J282" i="1"/>
  <c r="J287" i="1"/>
  <c r="J288" i="1"/>
  <c r="J296" i="1"/>
  <c r="J297" i="1"/>
  <c r="J298" i="1"/>
  <c r="J299" i="1"/>
  <c r="J300" i="1"/>
  <c r="J301" i="1"/>
  <c r="J311" i="1"/>
  <c r="J312" i="1"/>
  <c r="J313" i="1"/>
  <c r="J317" i="1"/>
  <c r="J318" i="1"/>
  <c r="J319" i="1"/>
  <c r="J323" i="1"/>
  <c r="J328" i="1"/>
  <c r="J329" i="1"/>
  <c r="J330" i="1"/>
  <c r="J331" i="1"/>
  <c r="J332" i="1"/>
  <c r="J333" i="1"/>
  <c r="J334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7" i="1"/>
  <c r="J368" i="1"/>
  <c r="J369" i="1"/>
  <c r="J371" i="1"/>
  <c r="J372" i="1"/>
  <c r="J373" i="1"/>
  <c r="J374" i="1"/>
  <c r="J375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8" i="1"/>
  <c r="J439" i="1"/>
  <c r="J440" i="1"/>
  <c r="J441" i="1"/>
  <c r="J442" i="1"/>
  <c r="J443" i="1"/>
  <c r="J444" i="1"/>
  <c r="J445" i="1"/>
  <c r="J446" i="1"/>
  <c r="J447" i="1"/>
  <c r="G277" i="1"/>
  <c r="J208" i="1"/>
  <c r="K208" i="1"/>
  <c r="J215" i="1"/>
  <c r="K215" i="1"/>
  <c r="J67" i="1"/>
  <c r="J68" i="1"/>
  <c r="J69" i="1"/>
  <c r="J65" i="1"/>
  <c r="J66" i="1"/>
  <c r="J63" i="1"/>
  <c r="J64" i="1"/>
  <c r="J61" i="1"/>
  <c r="J62" i="1"/>
  <c r="J59" i="1"/>
  <c r="J60" i="1"/>
  <c r="J58" i="1"/>
  <c r="J70" i="1"/>
  <c r="J77" i="1"/>
  <c r="J78" i="1"/>
  <c r="J79" i="1"/>
  <c r="J80" i="1"/>
  <c r="J81" i="1"/>
  <c r="J82" i="1"/>
  <c r="J83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23" i="1"/>
  <c r="J134" i="1"/>
  <c r="J137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7" i="1"/>
  <c r="J174" i="1"/>
  <c r="J184" i="1"/>
  <c r="J185" i="1"/>
  <c r="J192" i="1"/>
  <c r="J203" i="1"/>
  <c r="J206" i="1"/>
  <c r="J207" i="1"/>
  <c r="J209" i="1"/>
  <c r="J210" i="1"/>
  <c r="J211" i="1"/>
  <c r="J212" i="1"/>
  <c r="J213" i="1"/>
  <c r="J214" i="1"/>
  <c r="J216" i="1"/>
  <c r="J217" i="1"/>
  <c r="J218" i="1"/>
  <c r="J221" i="1"/>
  <c r="J224" i="1"/>
  <c r="J232" i="1"/>
  <c r="J235" i="1"/>
  <c r="J238" i="1"/>
  <c r="J241" i="1"/>
  <c r="J248" i="1"/>
  <c r="J75" i="1"/>
  <c r="J76" i="1"/>
  <c r="H74" i="1"/>
  <c r="H73" i="1"/>
  <c r="H72" i="1"/>
  <c r="J256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G215" i="1"/>
  <c r="G208" i="1"/>
  <c r="H208" i="1"/>
  <c r="G741" i="1"/>
  <c r="G739" i="1"/>
  <c r="G737" i="1"/>
  <c r="G736" i="1"/>
  <c r="G734" i="1"/>
  <c r="G732" i="1"/>
  <c r="G730" i="1"/>
  <c r="G728" i="1"/>
  <c r="G725" i="1"/>
  <c r="G723" i="1"/>
  <c r="G721" i="1"/>
  <c r="G719" i="1"/>
  <c r="G717" i="1"/>
  <c r="G715" i="1"/>
  <c r="G713" i="1"/>
  <c r="G710" i="1"/>
  <c r="G708" i="1"/>
  <c r="G706" i="1"/>
  <c r="G704" i="1"/>
  <c r="G702" i="1"/>
  <c r="G700" i="1"/>
  <c r="G697" i="1"/>
  <c r="G695" i="1"/>
  <c r="G693" i="1"/>
  <c r="G691" i="1"/>
  <c r="G689" i="1"/>
  <c r="G688" i="1"/>
  <c r="G686" i="1"/>
  <c r="G684" i="1"/>
  <c r="G682" i="1"/>
  <c r="G680" i="1"/>
  <c r="G678" i="1"/>
  <c r="G676" i="1"/>
  <c r="G674" i="1"/>
  <c r="G672" i="1"/>
  <c r="G670" i="1"/>
  <c r="G668" i="1"/>
  <c r="G666" i="1"/>
  <c r="G664" i="1"/>
  <c r="G662" i="1"/>
  <c r="G660" i="1"/>
  <c r="G658" i="1"/>
  <c r="G656" i="1"/>
  <c r="G654" i="1"/>
  <c r="G652" i="1"/>
  <c r="G650" i="1"/>
  <c r="G648" i="1"/>
  <c r="G646" i="1"/>
  <c r="G644" i="1"/>
  <c r="G641" i="1"/>
  <c r="G639" i="1"/>
  <c r="G638" i="1"/>
  <c r="G636" i="1"/>
  <c r="G634" i="1"/>
  <c r="G632" i="1"/>
  <c r="G630" i="1"/>
  <c r="G628" i="1"/>
  <c r="G626" i="1"/>
  <c r="G624" i="1"/>
  <c r="G622" i="1"/>
  <c r="G620" i="1"/>
  <c r="G618" i="1"/>
  <c r="G532" i="1"/>
  <c r="G529" i="1"/>
  <c r="G526" i="1"/>
  <c r="G523" i="1"/>
  <c r="G521" i="1"/>
  <c r="G518" i="1"/>
  <c r="G515" i="1"/>
  <c r="G512" i="1"/>
  <c r="G509" i="1"/>
  <c r="G506" i="1"/>
  <c r="G503" i="1"/>
  <c r="G500" i="1"/>
  <c r="G495" i="1"/>
  <c r="G492" i="1"/>
  <c r="G489" i="1"/>
  <c r="G486" i="1"/>
  <c r="G483" i="1"/>
  <c r="G480" i="1"/>
  <c r="G477" i="1"/>
  <c r="G474" i="1"/>
  <c r="G471" i="1"/>
  <c r="G468" i="1"/>
  <c r="G465" i="1"/>
  <c r="G462" i="1"/>
  <c r="G460" i="1"/>
  <c r="G457" i="1"/>
  <c r="G454" i="1"/>
  <c r="G451" i="1"/>
  <c r="G448" i="1"/>
  <c r="G446" i="1"/>
  <c r="G443" i="1"/>
  <c r="G441" i="1"/>
  <c r="G439" i="1"/>
  <c r="G437" i="1"/>
  <c r="G435" i="1"/>
  <c r="G433" i="1"/>
  <c r="G432" i="1"/>
  <c r="G431" i="1"/>
  <c r="G429" i="1"/>
  <c r="G426" i="1"/>
  <c r="G420" i="1"/>
  <c r="G417" i="1"/>
  <c r="G415" i="1"/>
  <c r="G414" i="1"/>
  <c r="G408" i="1"/>
  <c r="G405" i="1"/>
  <c r="G402" i="1"/>
  <c r="G400" i="1"/>
  <c r="G395" i="1"/>
  <c r="G393" i="1"/>
  <c r="G391" i="1"/>
  <c r="G387" i="1"/>
  <c r="G248" i="1"/>
  <c r="G241" i="1"/>
  <c r="G237" i="1"/>
  <c r="G234" i="1"/>
  <c r="G230" i="1"/>
  <c r="G226" i="1"/>
  <c r="G222" i="1"/>
  <c r="G218" i="1"/>
  <c r="G217" i="1"/>
  <c r="G213" i="1"/>
  <c r="G211" i="1"/>
  <c r="G209" i="1"/>
  <c r="G206" i="1"/>
  <c r="G202" i="1"/>
  <c r="G199" i="1"/>
  <c r="G196" i="1"/>
  <c r="G194" i="1"/>
  <c r="G192" i="1"/>
  <c r="G190" i="1"/>
  <c r="G188" i="1"/>
  <c r="G186" i="1"/>
  <c r="G184" i="1"/>
  <c r="G182" i="1"/>
  <c r="G178" i="1"/>
  <c r="G174" i="1"/>
  <c r="G170" i="1"/>
  <c r="G167" i="1"/>
  <c r="G162" i="1"/>
  <c r="G161" i="1"/>
  <c r="G157" i="1"/>
  <c r="G154" i="1"/>
  <c r="G151" i="1"/>
  <c r="G148" i="1"/>
  <c r="G145" i="1"/>
  <c r="G143" i="1"/>
  <c r="G139" i="1"/>
  <c r="G135" i="1"/>
  <c r="G740" i="1"/>
  <c r="G738" i="1"/>
  <c r="G735" i="1"/>
  <c r="G733" i="1"/>
  <c r="G731" i="1"/>
  <c r="G729" i="1"/>
  <c r="G727" i="1"/>
  <c r="G726" i="1"/>
  <c r="G724" i="1"/>
  <c r="G722" i="1"/>
  <c r="G720" i="1"/>
  <c r="G718" i="1"/>
  <c r="G716" i="1"/>
  <c r="G714" i="1"/>
  <c r="G712" i="1"/>
  <c r="G711" i="1"/>
  <c r="G709" i="1"/>
  <c r="G707" i="1"/>
  <c r="G705" i="1"/>
  <c r="G703" i="1"/>
  <c r="G701" i="1"/>
  <c r="G699" i="1"/>
  <c r="G698" i="1"/>
  <c r="G696" i="1"/>
  <c r="G694" i="1"/>
  <c r="G692" i="1"/>
  <c r="G690" i="1"/>
  <c r="G687" i="1"/>
  <c r="G685" i="1"/>
  <c r="G683" i="1"/>
  <c r="G681" i="1"/>
  <c r="G679" i="1"/>
  <c r="G677" i="1"/>
  <c r="G675" i="1"/>
  <c r="G673" i="1"/>
  <c r="G671" i="1"/>
  <c r="G669" i="1"/>
  <c r="G667" i="1"/>
  <c r="G665" i="1"/>
  <c r="G663" i="1"/>
  <c r="G661" i="1"/>
  <c r="G659" i="1"/>
  <c r="G657" i="1"/>
  <c r="G655" i="1"/>
  <c r="G653" i="1"/>
  <c r="G651" i="1"/>
  <c r="G649" i="1"/>
  <c r="G647" i="1"/>
  <c r="G645" i="1"/>
  <c r="G643" i="1"/>
  <c r="G642" i="1"/>
  <c r="G640" i="1"/>
  <c r="G637" i="1"/>
  <c r="G635" i="1"/>
  <c r="G633" i="1"/>
  <c r="G631" i="1"/>
  <c r="G629" i="1"/>
  <c r="G627" i="1"/>
  <c r="G625" i="1"/>
  <c r="G623" i="1"/>
  <c r="G621" i="1"/>
  <c r="G619" i="1"/>
  <c r="G617" i="1"/>
  <c r="G530" i="1"/>
  <c r="G528" i="1"/>
  <c r="G525" i="1"/>
  <c r="G520" i="1"/>
  <c r="G517" i="1"/>
  <c r="G514" i="1"/>
  <c r="G511" i="1"/>
  <c r="G508" i="1"/>
  <c r="G505" i="1"/>
  <c r="G502" i="1"/>
  <c r="G499" i="1"/>
  <c r="G497" i="1"/>
  <c r="G494" i="1"/>
  <c r="G491" i="1"/>
  <c r="G488" i="1"/>
  <c r="G485" i="1"/>
  <c r="G482" i="1"/>
  <c r="G479" i="1"/>
  <c r="G476" i="1"/>
  <c r="G473" i="1"/>
  <c r="G470" i="1"/>
  <c r="G467" i="1"/>
  <c r="G464" i="1"/>
  <c r="G461" i="1"/>
  <c r="G458" i="1"/>
  <c r="G455" i="1"/>
  <c r="G452" i="1"/>
  <c r="G449" i="1"/>
  <c r="G447" i="1"/>
  <c r="G444" i="1"/>
  <c r="G442" i="1"/>
  <c r="G427" i="1"/>
  <c r="G424" i="1"/>
  <c r="G423" i="1"/>
  <c r="G418" i="1"/>
  <c r="G413" i="1"/>
  <c r="G411" i="1"/>
  <c r="G410" i="1"/>
  <c r="G407" i="1"/>
  <c r="G404" i="1"/>
  <c r="G401" i="1"/>
  <c r="G399" i="1"/>
  <c r="G397" i="1"/>
  <c r="G392" i="1"/>
  <c r="G390" i="1"/>
  <c r="G388" i="1"/>
  <c r="G385" i="1"/>
  <c r="G383" i="1"/>
  <c r="G246" i="1"/>
  <c r="G243" i="1"/>
  <c r="G240" i="1"/>
  <c r="G236" i="1"/>
  <c r="G232" i="1"/>
  <c r="G228" i="1"/>
  <c r="G224" i="1"/>
  <c r="G220" i="1"/>
  <c r="G183" i="1"/>
  <c r="G179" i="1"/>
  <c r="G175" i="1"/>
  <c r="G171" i="1"/>
  <c r="G168" i="1"/>
  <c r="G165" i="1"/>
  <c r="G160" i="1"/>
  <c r="G156" i="1"/>
  <c r="G153" i="1"/>
  <c r="G150" i="1"/>
  <c r="G147" i="1"/>
  <c r="G141" i="1"/>
  <c r="G13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1" i="1"/>
  <c r="G527" i="1"/>
  <c r="G524" i="1"/>
  <c r="G522" i="1"/>
  <c r="G519" i="1"/>
  <c r="G516" i="1"/>
  <c r="G513" i="1"/>
  <c r="G510" i="1"/>
  <c r="G507" i="1"/>
  <c r="G504" i="1"/>
  <c r="G501" i="1"/>
  <c r="G498" i="1"/>
  <c r="G496" i="1"/>
  <c r="G493" i="1"/>
  <c r="G490" i="1"/>
  <c r="G487" i="1"/>
  <c r="G484" i="1"/>
  <c r="G481" i="1"/>
  <c r="G478" i="1"/>
  <c r="G475" i="1"/>
  <c r="G472" i="1"/>
  <c r="G469" i="1"/>
  <c r="G466" i="1"/>
  <c r="G463" i="1"/>
  <c r="G459" i="1"/>
  <c r="G456" i="1"/>
  <c r="G453" i="1"/>
  <c r="G450" i="1"/>
  <c r="G445" i="1"/>
  <c r="G440" i="1"/>
  <c r="G438" i="1"/>
  <c r="G436" i="1"/>
  <c r="G434" i="1"/>
  <c r="G430" i="1"/>
  <c r="G428" i="1"/>
  <c r="G425" i="1"/>
  <c r="G422" i="1"/>
  <c r="G421" i="1"/>
  <c r="G419" i="1"/>
  <c r="G416" i="1"/>
  <c r="G412" i="1"/>
  <c r="G409" i="1"/>
  <c r="G406" i="1"/>
  <c r="G403" i="1"/>
  <c r="G398" i="1"/>
  <c r="G396" i="1"/>
  <c r="G394" i="1"/>
  <c r="G389" i="1"/>
  <c r="G386" i="1"/>
  <c r="G384" i="1"/>
  <c r="G249" i="1"/>
  <c r="G245" i="1"/>
  <c r="G242" i="1"/>
  <c r="G238" i="1"/>
  <c r="G233" i="1"/>
  <c r="G229" i="1"/>
  <c r="G225" i="1"/>
  <c r="G221" i="1"/>
  <c r="G216" i="1"/>
  <c r="G204" i="1"/>
  <c r="G201" i="1"/>
  <c r="G198" i="1"/>
  <c r="G195" i="1"/>
  <c r="G185" i="1"/>
  <c r="G180" i="1"/>
  <c r="G176" i="1"/>
  <c r="G172" i="1"/>
  <c r="G166" i="1"/>
  <c r="G163" i="1"/>
  <c r="G158" i="1"/>
  <c r="G155" i="1"/>
  <c r="G152" i="1"/>
  <c r="G149" i="1"/>
  <c r="G146" i="1"/>
  <c r="G140" i="1"/>
  <c r="G136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7" i="1"/>
  <c r="G244" i="1"/>
  <c r="G239" i="1"/>
  <c r="G235" i="1"/>
  <c r="G231" i="1"/>
  <c r="G227" i="1"/>
  <c r="G223" i="1"/>
  <c r="G219" i="1"/>
  <c r="G214" i="1"/>
  <c r="G212" i="1"/>
  <c r="G210" i="1"/>
  <c r="G207" i="1"/>
  <c r="G205" i="1"/>
  <c r="G203" i="1"/>
  <c r="G200" i="1"/>
  <c r="G197" i="1"/>
  <c r="G193" i="1"/>
  <c r="G191" i="1"/>
  <c r="G189" i="1"/>
  <c r="G187" i="1"/>
  <c r="G181" i="1"/>
  <c r="G177" i="1"/>
  <c r="G173" i="1"/>
  <c r="G169" i="1"/>
  <c r="G164" i="1"/>
  <c r="G159" i="1"/>
  <c r="G144" i="1"/>
  <c r="G142" i="1"/>
  <c r="G138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B69" i="9" l="1"/>
  <c r="B70" i="9"/>
  <c r="B71" i="9"/>
  <c r="B72" i="9"/>
  <c r="B114" i="9"/>
  <c r="B115" i="9"/>
  <c r="B116" i="9"/>
  <c r="B117" i="9"/>
  <c r="B118" i="9"/>
  <c r="B119" i="9"/>
  <c r="B120" i="9"/>
  <c r="B122" i="9"/>
  <c r="B123" i="9"/>
  <c r="B124" i="9"/>
  <c r="B125" i="9"/>
  <c r="B126" i="9"/>
  <c r="B127" i="9"/>
  <c r="B128" i="9"/>
  <c r="B129" i="9"/>
  <c r="B130" i="9"/>
  <c r="B131" i="9"/>
  <c r="B133" i="9"/>
  <c r="B134" i="9"/>
  <c r="B136" i="9"/>
  <c r="B137" i="9"/>
  <c r="B138" i="9"/>
  <c r="B139" i="9"/>
  <c r="B140" i="9"/>
  <c r="B141" i="9"/>
  <c r="B163" i="9"/>
  <c r="B164" i="9"/>
  <c r="B166" i="9"/>
  <c r="B167" i="9"/>
  <c r="B168" i="9"/>
  <c r="B169" i="9"/>
  <c r="B170" i="9"/>
  <c r="B171" i="9"/>
  <c r="B173" i="9"/>
  <c r="B174" i="9"/>
  <c r="B175" i="9"/>
  <c r="B176" i="9"/>
  <c r="B177" i="9"/>
  <c r="B178" i="9"/>
  <c r="B179" i="9"/>
  <c r="B180" i="9"/>
  <c r="B181" i="9"/>
  <c r="B184" i="9"/>
  <c r="B185" i="9"/>
  <c r="B186" i="9"/>
  <c r="B187" i="9"/>
  <c r="B188" i="9"/>
  <c r="B189" i="9"/>
  <c r="B191" i="9"/>
  <c r="B192" i="9"/>
  <c r="B193" i="9"/>
  <c r="B194" i="9"/>
  <c r="B195" i="9"/>
  <c r="B196" i="9"/>
  <c r="B197" i="9"/>
  <c r="B198" i="9"/>
  <c r="B199" i="9"/>
  <c r="B200" i="9"/>
  <c r="B202" i="9"/>
  <c r="B203" i="9"/>
  <c r="B217" i="9"/>
  <c r="B218" i="9"/>
  <c r="B220" i="9"/>
  <c r="B221" i="9"/>
  <c r="B223" i="9"/>
  <c r="B224" i="9"/>
  <c r="B225" i="9"/>
  <c r="B226" i="9"/>
  <c r="B227" i="9"/>
  <c r="B228" i="9"/>
  <c r="B229" i="9"/>
  <c r="B231" i="9"/>
  <c r="B232" i="9"/>
  <c r="B234" i="9"/>
  <c r="B235" i="9"/>
  <c r="B237" i="9"/>
  <c r="B238" i="9"/>
  <c r="B240" i="9"/>
  <c r="B241" i="9"/>
  <c r="B242" i="9"/>
  <c r="B243" i="9"/>
  <c r="B244" i="9"/>
  <c r="B245" i="9"/>
  <c r="B247" i="9"/>
  <c r="B248" i="9"/>
  <c r="B249" i="9"/>
  <c r="B250" i="9"/>
  <c r="B251" i="9"/>
  <c r="B252" i="9"/>
  <c r="B253" i="9"/>
  <c r="B255" i="9"/>
  <c r="B256" i="9"/>
  <c r="B257" i="9"/>
  <c r="B260" i="9"/>
  <c r="B261" i="9"/>
  <c r="B262" i="9"/>
  <c r="B263" i="9"/>
  <c r="B264" i="9"/>
  <c r="B270" i="9"/>
  <c r="B271" i="9"/>
  <c r="B272" i="9"/>
  <c r="B273" i="9"/>
  <c r="B274" i="9"/>
  <c r="B275" i="9"/>
  <c r="B277" i="9"/>
  <c r="B278" i="9"/>
  <c r="B279" i="9"/>
  <c r="B281" i="9"/>
  <c r="B282" i="9"/>
  <c r="B283" i="9"/>
  <c r="B284" i="9"/>
  <c r="B287" i="9"/>
  <c r="B288" i="9"/>
  <c r="B289" i="9"/>
  <c r="B290" i="9"/>
  <c r="B291" i="9"/>
  <c r="B292" i="9"/>
  <c r="B293" i="9"/>
  <c r="B300" i="9"/>
  <c r="B301" i="9"/>
  <c r="B302" i="9"/>
  <c r="B303" i="9"/>
  <c r="B304" i="9"/>
  <c r="B305" i="9"/>
  <c r="B306" i="9"/>
  <c r="B307" i="9"/>
  <c r="B308" i="9"/>
  <c r="B312" i="9"/>
  <c r="B313" i="9"/>
  <c r="B314" i="9"/>
  <c r="B318" i="9"/>
  <c r="B319" i="9"/>
  <c r="B320" i="9"/>
  <c r="B322" i="9"/>
  <c r="B323" i="9"/>
  <c r="B324" i="9"/>
  <c r="B325" i="9"/>
  <c r="B333" i="9"/>
  <c r="B334" i="9"/>
  <c r="B335" i="9"/>
  <c r="B337" i="9"/>
  <c r="B338" i="9"/>
  <c r="B343" i="9"/>
  <c r="B344" i="9"/>
  <c r="B361" i="9"/>
  <c r="B363" i="9"/>
  <c r="B374" i="9"/>
  <c r="B375" i="9"/>
  <c r="B376" i="9"/>
  <c r="B447" i="9"/>
  <c r="B451" i="9"/>
  <c r="B454" i="9"/>
  <c r="B455" i="9"/>
  <c r="B460" i="9"/>
  <c r="B465" i="9"/>
  <c r="B469" i="9"/>
  <c r="B472" i="9"/>
  <c r="B476" i="9"/>
  <c r="B480" i="9"/>
  <c r="B483" i="9"/>
  <c r="B486" i="9"/>
  <c r="B489" i="9"/>
  <c r="B494" i="9"/>
  <c r="B499" i="9"/>
  <c r="B502" i="9"/>
  <c r="B506" i="9"/>
  <c r="B510" i="9"/>
  <c r="B513" i="9"/>
  <c r="B517" i="9"/>
  <c r="B520" i="9"/>
  <c r="B523" i="9"/>
  <c r="B526" i="9"/>
  <c r="B529" i="9"/>
  <c r="B533" i="9"/>
  <c r="B536" i="9"/>
  <c r="B539" i="9"/>
  <c r="B542" i="9"/>
  <c r="B546" i="9"/>
  <c r="B549" i="9"/>
  <c r="B552" i="9"/>
  <c r="B556" i="9"/>
  <c r="B560" i="9"/>
  <c r="B563" i="9"/>
  <c r="B567" i="9"/>
  <c r="B571" i="9"/>
  <c r="B574" i="9"/>
  <c r="B578" i="9"/>
  <c r="B581" i="9"/>
  <c r="B583" i="9"/>
  <c r="B586" i="9"/>
  <c r="B589" i="9"/>
  <c r="B592" i="9"/>
  <c r="B596" i="9"/>
  <c r="B599" i="9"/>
  <c r="B602" i="9"/>
  <c r="B606" i="9"/>
  <c r="B610" i="9"/>
  <c r="B613" i="9"/>
  <c r="B616" i="9"/>
  <c r="B625" i="9"/>
  <c r="B629" i="9"/>
  <c r="B634" i="9"/>
  <c r="B639" i="9"/>
  <c r="B644" i="9"/>
  <c r="B648" i="9"/>
  <c r="B651" i="9"/>
  <c r="B656" i="9"/>
  <c r="B660" i="9"/>
  <c r="B663" i="9"/>
  <c r="B666" i="9"/>
  <c r="B671" i="9"/>
  <c r="B673" i="9"/>
  <c r="B676" i="9"/>
  <c r="B679" i="9"/>
  <c r="B682" i="9"/>
  <c r="B685" i="9"/>
  <c r="B690" i="9"/>
  <c r="B693" i="9"/>
  <c r="B696" i="9"/>
  <c r="B700" i="9"/>
  <c r="B705" i="9"/>
  <c r="B709" i="9"/>
  <c r="B712" i="9"/>
  <c r="B716" i="9"/>
  <c r="B719" i="9"/>
  <c r="B722" i="9"/>
  <c r="B726" i="9"/>
  <c r="B729" i="9"/>
  <c r="B731" i="9"/>
  <c r="B733" i="9"/>
  <c r="B736" i="9"/>
  <c r="B738" i="9"/>
  <c r="B362" i="9"/>
  <c r="B364" i="9"/>
  <c r="B377" i="9"/>
  <c r="B448" i="9"/>
  <c r="B449" i="9"/>
  <c r="B450" i="9"/>
  <c r="B452" i="9"/>
  <c r="B453" i="9"/>
  <c r="B456" i="9"/>
  <c r="B457" i="9"/>
  <c r="B458" i="9"/>
  <c r="B459" i="9"/>
  <c r="B461" i="9"/>
  <c r="B462" i="9"/>
  <c r="B464" i="9"/>
  <c r="B466" i="9"/>
  <c r="B468" i="9"/>
  <c r="B470" i="9"/>
  <c r="B471" i="9"/>
  <c r="B473" i="9"/>
  <c r="B474" i="9"/>
  <c r="B475" i="9"/>
  <c r="B477" i="9"/>
  <c r="B479" i="9"/>
  <c r="B481" i="9"/>
  <c r="B482" i="9"/>
  <c r="B484" i="9"/>
  <c r="B485" i="9"/>
  <c r="B487" i="9"/>
  <c r="B488" i="9"/>
  <c r="B490" i="9"/>
  <c r="B491" i="9"/>
  <c r="B493" i="9"/>
  <c r="B495" i="9"/>
  <c r="B496" i="9"/>
  <c r="B498" i="9"/>
  <c r="B500" i="9"/>
  <c r="B501" i="9"/>
  <c r="B504" i="9"/>
  <c r="B505" i="9"/>
  <c r="B507" i="9"/>
  <c r="B508" i="9"/>
  <c r="B509" i="9"/>
  <c r="B511" i="9"/>
  <c r="B512" i="9"/>
  <c r="B514" i="9"/>
  <c r="B515" i="9"/>
  <c r="B516" i="9"/>
  <c r="B518" i="9"/>
  <c r="B519" i="9"/>
  <c r="B521" i="9"/>
  <c r="B522" i="9"/>
  <c r="B524" i="9"/>
  <c r="B525" i="9"/>
  <c r="B527" i="9"/>
  <c r="B528" i="9"/>
  <c r="B530" i="9"/>
  <c r="B531" i="9"/>
  <c r="B532" i="9"/>
  <c r="B534" i="9"/>
  <c r="B535" i="9"/>
  <c r="B537" i="9"/>
  <c r="B538" i="9"/>
  <c r="B540" i="9"/>
  <c r="B541" i="9"/>
  <c r="B543" i="9"/>
  <c r="B544" i="9"/>
  <c r="B545" i="9"/>
  <c r="B547" i="9"/>
  <c r="B548" i="9"/>
  <c r="B550" i="9"/>
  <c r="B551" i="9"/>
  <c r="B553" i="9"/>
  <c r="B554" i="9"/>
  <c r="B557" i="9"/>
  <c r="B558" i="9"/>
  <c r="B559" i="9"/>
  <c r="B561" i="9"/>
  <c r="B562" i="9"/>
  <c r="B564" i="9"/>
  <c r="B566" i="9"/>
  <c r="B568" i="9"/>
  <c r="B570" i="9"/>
  <c r="B572" i="9"/>
  <c r="B573" i="9"/>
  <c r="B575" i="9"/>
  <c r="B576" i="9"/>
  <c r="B577" i="9"/>
  <c r="B579" i="9"/>
  <c r="B580" i="9"/>
  <c r="B582" i="9"/>
  <c r="B584" i="9"/>
  <c r="B585" i="9"/>
  <c r="B587" i="9"/>
  <c r="B588" i="9"/>
  <c r="B590" i="9"/>
  <c r="B591" i="9"/>
  <c r="B593" i="9"/>
  <c r="B594" i="9"/>
  <c r="B595" i="9"/>
  <c r="B597" i="9"/>
  <c r="B598" i="9"/>
  <c r="B600" i="9"/>
  <c r="B601" i="9"/>
  <c r="B603" i="9"/>
  <c r="B604" i="9"/>
  <c r="B605" i="9"/>
  <c r="B607" i="9"/>
  <c r="B609" i="9"/>
  <c r="B611" i="9"/>
  <c r="B612" i="9"/>
  <c r="B614" i="9"/>
  <c r="B615" i="9"/>
  <c r="B617" i="9"/>
  <c r="B618" i="9"/>
  <c r="B619" i="9"/>
  <c r="B620" i="9"/>
  <c r="B621" i="9"/>
  <c r="B622" i="9"/>
  <c r="B623" i="9"/>
  <c r="B624" i="9"/>
  <c r="B626" i="9"/>
  <c r="B627" i="9"/>
  <c r="B628" i="9"/>
  <c r="B630" i="9"/>
  <c r="B631" i="9"/>
  <c r="B633" i="9"/>
  <c r="B635" i="9"/>
  <c r="B636" i="9"/>
  <c r="B638" i="9"/>
  <c r="B640" i="9"/>
  <c r="B641" i="9"/>
  <c r="B643" i="9"/>
  <c r="B645" i="9"/>
  <c r="B647" i="9"/>
  <c r="B649" i="9"/>
  <c r="B650" i="9"/>
  <c r="B652" i="9"/>
  <c r="B653" i="9"/>
  <c r="B654" i="9"/>
  <c r="B657" i="9"/>
  <c r="B658" i="9"/>
  <c r="B659" i="9"/>
  <c r="B661" i="9"/>
  <c r="B662" i="9"/>
  <c r="B664" i="9"/>
  <c r="B665" i="9"/>
  <c r="B667" i="9"/>
  <c r="B668" i="9"/>
  <c r="B669" i="9"/>
  <c r="B670" i="9"/>
  <c r="B672" i="9"/>
  <c r="B674" i="9"/>
  <c r="B675" i="9"/>
  <c r="B677" i="9"/>
  <c r="B678" i="9"/>
  <c r="B680" i="9"/>
  <c r="B681" i="9"/>
  <c r="B683" i="9"/>
  <c r="B684" i="9"/>
  <c r="B686" i="9"/>
  <c r="B687" i="9"/>
  <c r="B688" i="9"/>
  <c r="B691" i="9"/>
  <c r="B692" i="9"/>
  <c r="B694" i="9"/>
  <c r="B695" i="9"/>
  <c r="B697" i="9"/>
  <c r="B698" i="9"/>
  <c r="B701" i="9"/>
  <c r="B702" i="9"/>
  <c r="B703" i="9"/>
  <c r="B704" i="9"/>
  <c r="B706" i="9"/>
  <c r="B707" i="9"/>
  <c r="B708" i="9"/>
  <c r="B710" i="9"/>
  <c r="B711" i="9"/>
  <c r="B713" i="9"/>
  <c r="B714" i="9"/>
  <c r="B715" i="9"/>
  <c r="B717" i="9"/>
  <c r="B718" i="9"/>
  <c r="B720" i="9"/>
  <c r="B721" i="9"/>
  <c r="B723" i="9"/>
  <c r="B724" i="9"/>
  <c r="B725" i="9"/>
  <c r="B727" i="9"/>
  <c r="B728" i="9"/>
  <c r="B730" i="9"/>
  <c r="B732" i="9"/>
  <c r="B734" i="9"/>
  <c r="B735" i="9"/>
  <c r="B737" i="9"/>
  <c r="B739" i="9"/>
  <c r="L724" i="1"/>
  <c r="L71" i="1"/>
  <c r="L370" i="1"/>
  <c r="L277" i="1"/>
  <c r="I306" i="1"/>
  <c r="K306" i="1" s="1"/>
  <c r="L306" i="1" s="1"/>
  <c r="I302" i="1"/>
  <c r="K302" i="1" s="1"/>
  <c r="L302" i="1" s="1"/>
  <c r="I276" i="1"/>
  <c r="K276" i="1" s="1"/>
  <c r="L276" i="1" s="1"/>
  <c r="I272" i="1"/>
  <c r="K272" i="1" s="1"/>
  <c r="L272" i="1" s="1"/>
  <c r="L219" i="1"/>
  <c r="L220" i="1"/>
  <c r="L222" i="1"/>
  <c r="L223" i="1"/>
  <c r="L225" i="1"/>
  <c r="L226" i="1"/>
  <c r="L227" i="1"/>
  <c r="L228" i="1"/>
  <c r="L229" i="1"/>
  <c r="L230" i="1"/>
  <c r="L231" i="1"/>
  <c r="L233" i="1"/>
  <c r="L234" i="1"/>
  <c r="L236" i="1"/>
  <c r="L237" i="1"/>
  <c r="L239" i="1"/>
  <c r="L240" i="1"/>
  <c r="L242" i="1"/>
  <c r="L243" i="1"/>
  <c r="L244" i="1"/>
  <c r="L245" i="1"/>
  <c r="L246" i="1"/>
  <c r="L247" i="1"/>
  <c r="L249" i="1"/>
  <c r="L250" i="1"/>
  <c r="L251" i="1"/>
  <c r="L252" i="1"/>
  <c r="L253" i="1"/>
  <c r="L254" i="1"/>
  <c r="L255" i="1"/>
  <c r="L186" i="1"/>
  <c r="L187" i="1"/>
  <c r="L188" i="1"/>
  <c r="L189" i="1"/>
  <c r="L190" i="1"/>
  <c r="L191" i="1"/>
  <c r="L193" i="1"/>
  <c r="L194" i="1"/>
  <c r="L195" i="1"/>
  <c r="L196" i="1"/>
  <c r="L197" i="1"/>
  <c r="L198" i="1"/>
  <c r="L199" i="1"/>
  <c r="L200" i="1"/>
  <c r="L201" i="1"/>
  <c r="L202" i="1"/>
  <c r="L204" i="1"/>
  <c r="L205" i="1"/>
  <c r="L168" i="1"/>
  <c r="L170" i="1"/>
  <c r="L171" i="1"/>
  <c r="L173" i="1"/>
  <c r="L175" i="1"/>
  <c r="L177" i="1"/>
  <c r="L178" i="1"/>
  <c r="L180" i="1"/>
  <c r="L182" i="1"/>
  <c r="L183" i="1"/>
  <c r="L169" i="1"/>
  <c r="L172" i="1"/>
  <c r="L176" i="1"/>
  <c r="L179" i="1"/>
  <c r="L181" i="1"/>
  <c r="L165" i="1"/>
  <c r="L166" i="1"/>
  <c r="L72" i="1"/>
  <c r="L73" i="1"/>
  <c r="L74" i="1"/>
  <c r="L167" i="1"/>
  <c r="L116" i="1"/>
  <c r="L117" i="1"/>
  <c r="L118" i="1"/>
  <c r="L119" i="1"/>
  <c r="L120" i="1"/>
  <c r="L121" i="1"/>
  <c r="L122" i="1"/>
  <c r="L124" i="1"/>
  <c r="L125" i="1"/>
  <c r="L126" i="1"/>
  <c r="L127" i="1"/>
  <c r="L128" i="1"/>
  <c r="L129" i="1"/>
  <c r="L130" i="1"/>
  <c r="L131" i="1"/>
  <c r="L132" i="1"/>
  <c r="L133" i="1"/>
  <c r="L135" i="1"/>
  <c r="L136" i="1"/>
  <c r="L138" i="1"/>
  <c r="L139" i="1"/>
  <c r="L140" i="1"/>
  <c r="L141" i="1"/>
  <c r="L142" i="1"/>
  <c r="L143" i="1"/>
  <c r="L87" i="1"/>
  <c r="L84" i="1"/>
  <c r="L85" i="1"/>
  <c r="L86" i="1"/>
  <c r="L91" i="1"/>
  <c r="L98" i="1"/>
  <c r="L92" i="1"/>
  <c r="L97" i="1"/>
  <c r="L88" i="1"/>
  <c r="L95" i="1"/>
  <c r="L89" i="1"/>
  <c r="L94" i="1"/>
  <c r="L58" i="1"/>
  <c r="L62" i="1"/>
  <c r="L64" i="1"/>
  <c r="L67" i="1"/>
  <c r="L76" i="1"/>
  <c r="L79" i="1"/>
  <c r="L82" i="1"/>
  <c r="L101" i="1"/>
  <c r="L105" i="1"/>
  <c r="L109" i="1"/>
  <c r="L113" i="1"/>
  <c r="L115" i="1"/>
  <c r="L144" i="1"/>
  <c r="L148" i="1"/>
  <c r="L152" i="1"/>
  <c r="L156" i="1"/>
  <c r="L160" i="1"/>
  <c r="L164" i="1"/>
  <c r="L174" i="1"/>
  <c r="L206" i="1"/>
  <c r="L210" i="1"/>
  <c r="L214" i="1"/>
  <c r="L235" i="1"/>
  <c r="L75" i="1"/>
  <c r="L96" i="1"/>
  <c r="L102" i="1"/>
  <c r="L106" i="1"/>
  <c r="L110" i="1"/>
  <c r="L137" i="1"/>
  <c r="L147" i="1"/>
  <c r="L151" i="1"/>
  <c r="L155" i="1"/>
  <c r="L159" i="1"/>
  <c r="L163" i="1"/>
  <c r="L192" i="1"/>
  <c r="L208" i="1"/>
  <c r="L212" i="1"/>
  <c r="L216" i="1"/>
  <c r="L221" i="1"/>
  <c r="L238" i="1"/>
  <c r="L70" i="1"/>
  <c r="L60" i="1"/>
  <c r="L63" i="1"/>
  <c r="L66" i="1"/>
  <c r="L69" i="1"/>
  <c r="L77" i="1"/>
  <c r="L80" i="1"/>
  <c r="L90" i="1"/>
  <c r="L99" i="1"/>
  <c r="L103" i="1"/>
  <c r="L107" i="1"/>
  <c r="L111" i="1"/>
  <c r="L114" i="1"/>
  <c r="L134" i="1"/>
  <c r="L146" i="1"/>
  <c r="L150" i="1"/>
  <c r="L153" i="1"/>
  <c r="L157" i="1"/>
  <c r="L161" i="1"/>
  <c r="L184" i="1"/>
  <c r="L203" i="1"/>
  <c r="L209" i="1"/>
  <c r="L213" i="1"/>
  <c r="L217" i="1"/>
  <c r="L232" i="1"/>
  <c r="L241" i="1"/>
  <c r="L59" i="1"/>
  <c r="L61" i="1"/>
  <c r="L65" i="1"/>
  <c r="L68" i="1"/>
  <c r="L78" i="1"/>
  <c r="L81" i="1"/>
  <c r="L83" i="1"/>
  <c r="L93" i="1"/>
  <c r="L100" i="1"/>
  <c r="L104" i="1"/>
  <c r="L108" i="1"/>
  <c r="L112" i="1"/>
  <c r="L123" i="1"/>
  <c r="L145" i="1"/>
  <c r="L149" i="1"/>
  <c r="L154" i="1"/>
  <c r="L158" i="1"/>
  <c r="L162" i="1"/>
  <c r="L185" i="1"/>
  <c r="L207" i="1"/>
  <c r="L211" i="1"/>
  <c r="L215" i="1"/>
  <c r="L218" i="1"/>
  <c r="L224" i="1"/>
  <c r="L248" i="1"/>
  <c r="L9" i="1"/>
  <c r="L412" i="1"/>
  <c r="L424" i="1"/>
  <c r="L422" i="1"/>
  <c r="L420" i="1"/>
  <c r="L418" i="1"/>
  <c r="L416" i="1"/>
  <c r="L414" i="1"/>
  <c r="L425" i="1"/>
  <c r="L415" i="1"/>
  <c r="L411" i="1"/>
  <c r="L426" i="1"/>
  <c r="L421" i="1"/>
  <c r="L446" i="1"/>
  <c r="L447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3" i="1"/>
  <c r="L419" i="1"/>
  <c r="L417" i="1"/>
  <c r="L413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405" i="1"/>
  <c r="L403" i="1"/>
  <c r="L401" i="1"/>
  <c r="L400" i="1"/>
  <c r="L398" i="1"/>
  <c r="L397" i="1"/>
  <c r="L395" i="1"/>
  <c r="L394" i="1"/>
  <c r="L393" i="1"/>
  <c r="L390" i="1"/>
  <c r="L387" i="1"/>
  <c r="L384" i="1"/>
  <c r="L381" i="1"/>
  <c r="L379" i="1"/>
  <c r="L377" i="1"/>
  <c r="L374" i="1"/>
  <c r="L372" i="1"/>
  <c r="L368" i="1"/>
  <c r="L366" i="1"/>
  <c r="L364" i="1"/>
  <c r="L362" i="1"/>
  <c r="L361" i="1"/>
  <c r="L359" i="1"/>
  <c r="L358" i="1"/>
  <c r="L357" i="1"/>
  <c r="L354" i="1"/>
  <c r="L351" i="1"/>
  <c r="L348" i="1"/>
  <c r="L346" i="1"/>
  <c r="L345" i="1"/>
  <c r="L342" i="1"/>
  <c r="L341" i="1"/>
  <c r="L339" i="1"/>
  <c r="L337" i="1"/>
  <c r="L335" i="1"/>
  <c r="L333" i="1"/>
  <c r="L332" i="1"/>
  <c r="L330" i="1"/>
  <c r="L328" i="1"/>
  <c r="L326" i="1"/>
  <c r="L324" i="1"/>
  <c r="L321" i="1"/>
  <c r="L319" i="1"/>
  <c r="L318" i="1"/>
  <c r="L316" i="1"/>
  <c r="L314" i="1"/>
  <c r="L311" i="1"/>
  <c r="L310" i="1"/>
  <c r="L308" i="1"/>
  <c r="L304" i="1"/>
  <c r="L300" i="1"/>
  <c r="L298" i="1"/>
  <c r="L296" i="1"/>
  <c r="L294" i="1"/>
  <c r="L292" i="1"/>
  <c r="L291" i="1"/>
  <c r="L289" i="1"/>
  <c r="L287" i="1"/>
  <c r="L285" i="1"/>
  <c r="L283" i="1"/>
  <c r="L281" i="1"/>
  <c r="L279" i="1"/>
  <c r="L275" i="1"/>
  <c r="L273" i="1"/>
  <c r="L271" i="1"/>
  <c r="L269" i="1"/>
  <c r="L267" i="1"/>
  <c r="L265" i="1"/>
  <c r="L263" i="1"/>
  <c r="L261" i="1"/>
  <c r="L259" i="1"/>
  <c r="L257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8" i="1"/>
  <c r="L410" i="1"/>
  <c r="L409" i="1"/>
  <c r="L408" i="1"/>
  <c r="L407" i="1"/>
  <c r="L406" i="1"/>
  <c r="L404" i="1"/>
  <c r="L402" i="1"/>
  <c r="L399" i="1"/>
  <c r="L396" i="1"/>
  <c r="L392" i="1"/>
  <c r="L391" i="1"/>
  <c r="L389" i="1"/>
  <c r="L388" i="1"/>
  <c r="L386" i="1"/>
  <c r="L385" i="1"/>
  <c r="L383" i="1"/>
  <c r="L382" i="1"/>
  <c r="L380" i="1"/>
  <c r="L378" i="1"/>
  <c r="L376" i="1"/>
  <c r="L375" i="1"/>
  <c r="L373" i="1"/>
  <c r="L371" i="1"/>
  <c r="L369" i="1"/>
  <c r="L367" i="1"/>
  <c r="L365" i="1"/>
  <c r="L363" i="1"/>
  <c r="L360" i="1"/>
  <c r="L356" i="1"/>
  <c r="L355" i="1"/>
  <c r="L353" i="1"/>
  <c r="L352" i="1"/>
  <c r="L350" i="1"/>
  <c r="L349" i="1"/>
  <c r="L347" i="1"/>
  <c r="L344" i="1"/>
  <c r="L343" i="1"/>
  <c r="L340" i="1"/>
  <c r="L338" i="1"/>
  <c r="L336" i="1"/>
  <c r="L334" i="1"/>
  <c r="L331" i="1"/>
  <c r="L329" i="1"/>
  <c r="L327" i="1"/>
  <c r="L325" i="1"/>
  <c r="L323" i="1"/>
  <c r="L322" i="1"/>
  <c r="L320" i="1"/>
  <c r="L317" i="1"/>
  <c r="L315" i="1"/>
  <c r="L313" i="1"/>
  <c r="L312" i="1"/>
  <c r="L309" i="1"/>
  <c r="L307" i="1"/>
  <c r="L305" i="1"/>
  <c r="L303" i="1"/>
  <c r="L301" i="1"/>
  <c r="L299" i="1"/>
  <c r="L297" i="1"/>
  <c r="L295" i="1"/>
  <c r="L293" i="1"/>
  <c r="L290" i="1"/>
  <c r="L288" i="1"/>
  <c r="L286" i="1"/>
  <c r="L284" i="1"/>
  <c r="L282" i="1"/>
  <c r="L280" i="1"/>
  <c r="L278" i="1"/>
  <c r="L274" i="1"/>
  <c r="L270" i="1"/>
  <c r="L268" i="1"/>
  <c r="L266" i="1"/>
  <c r="L264" i="1"/>
  <c r="L262" i="1"/>
  <c r="L260" i="1"/>
  <c r="L258" i="1"/>
  <c r="L256" i="1"/>
  <c r="L449" i="1"/>
  <c r="B83" i="9"/>
  <c r="B85" i="9"/>
  <c r="B84" i="9"/>
  <c r="B82" i="9"/>
  <c r="B429" i="9"/>
  <c r="B430" i="9"/>
  <c r="B431" i="9"/>
  <c r="B432" i="9"/>
  <c r="B433" i="9"/>
  <c r="B435" i="9"/>
  <c r="B434" i="9"/>
</calcChain>
</file>

<file path=xl/sharedStrings.xml><?xml version="1.0" encoding="utf-8"?>
<sst xmlns="http://schemas.openxmlformats.org/spreadsheetml/2006/main" count="8733" uniqueCount="3095">
  <si>
    <t>ACTIVO NO CORRIENTE</t>
  </si>
  <si>
    <t>Cuenta</t>
  </si>
  <si>
    <t>Denominación</t>
  </si>
  <si>
    <t>CUADRO DE CUENTAS DEL PLAN GENERAL DE CONTABILIDAD (RD 1514/2007, de 16 de noviembre)</t>
  </si>
  <si>
    <t>Parent</t>
  </si>
  <si>
    <t>Is Group</t>
  </si>
  <si>
    <t>cuenta_text</t>
  </si>
  <si>
    <t>Pyme?</t>
  </si>
  <si>
    <t>10. CAPITAL</t>
  </si>
  <si>
    <t>100. Capital social</t>
  </si>
  <si>
    <t>101. Fondo social</t>
  </si>
  <si>
    <t>102. Capital</t>
  </si>
  <si>
    <t>103. Socios por desembolsos no exigidos</t>
  </si>
  <si>
    <t>1030. Socios por desembolsos no exigidos, capital social</t>
  </si>
  <si>
    <t>104. Socios por aportaciones no dinerarias pendientes</t>
  </si>
  <si>
    <t>108. Acciones o participaciones propias en situaciones especiales</t>
  </si>
  <si>
    <t>109. Acciones o participaciones propias para reducción de capital</t>
  </si>
  <si>
    <t>11. RESERVAS</t>
  </si>
  <si>
    <t>110. Prima de emisión o asunción</t>
  </si>
  <si>
    <t>112. Reserva legal</t>
  </si>
  <si>
    <t>113. Reservas voluntarias</t>
  </si>
  <si>
    <t>114. Reservas especiales</t>
  </si>
  <si>
    <t>1141. Reservas estatutarias</t>
  </si>
  <si>
    <t>1142. Reserva por capital amortizado</t>
  </si>
  <si>
    <t>1144. Reservas por acciones propias aceptadas en garantía</t>
  </si>
  <si>
    <t>118. Aportaciones de socios o propietarios</t>
  </si>
  <si>
    <t>119. Diferencias por ajuste del capital a euros</t>
  </si>
  <si>
    <t>12. RESULTADOS PENDIENTES DE APLICACIÓN</t>
  </si>
  <si>
    <t>120. Remanente</t>
  </si>
  <si>
    <t>121. Resultados negativos de ejercicios anteriores</t>
  </si>
  <si>
    <t>129. Resultado del ejercicio</t>
  </si>
  <si>
    <t>130. Subvenciones oficiales de capital</t>
  </si>
  <si>
    <t>131. Donaciones y legados de capital</t>
  </si>
  <si>
    <t>132. Otras subvenciones, donaciones y legados</t>
  </si>
  <si>
    <t>137. Ingresos fiscales a distribuir en varios ejercicios</t>
  </si>
  <si>
    <t>14. PROVISIONES</t>
  </si>
  <si>
    <t>141. Provisión para impuestos</t>
  </si>
  <si>
    <t>142. Provisión para otras responsabilidades</t>
  </si>
  <si>
    <t>145. Provisión para actuaciones medioambientales</t>
  </si>
  <si>
    <t>15. DEUDAS A LARGO PLAZO CON CARACTERÍSTICAS ESPECIALES</t>
  </si>
  <si>
    <t>1535. Desembolsos no exigidos, otras partes vinculadas</t>
  </si>
  <si>
    <t>1536. Otros desembolsos no exigidos</t>
  </si>
  <si>
    <t>1545. Aportaciones no dinerarias pendientes, otras partes vinculadas</t>
  </si>
  <si>
    <t>1546. Otras aportaciones no dinerarias pendientes</t>
  </si>
  <si>
    <t>16. DEUDAS A LARGO PLAZO CON PARTES VINCULADAS</t>
  </si>
  <si>
    <t>160. Deudas a largo plazo con entidades de crédito vinculadas</t>
  </si>
  <si>
    <t>1605. Deudas a largo plazo con otras entidades de crédito vinculadas</t>
  </si>
  <si>
    <t>161. Proveedores de inmovilizado a largo plazo, partes vinculadas</t>
  </si>
  <si>
    <t>1613. Proveedores de inmovilizado a largo plazo, empresas del grupo</t>
  </si>
  <si>
    <t>1614. Proveedores de inmovilizado a largo plazo, empresas asociadas</t>
  </si>
  <si>
    <t>1615. Proveedores de inmovilizado a largo plazo, otras partes vinculadas</t>
  </si>
  <si>
    <t>partes vinculadas</t>
  </si>
  <si>
    <t>163. Otras deudas a largo plazo con partes vinculadas</t>
  </si>
  <si>
    <t>1633. Otras deudas a largo plazo, empresas del grupo</t>
  </si>
  <si>
    <t>1634. Otras deudas a largo plazo, empresas asociadas</t>
  </si>
  <si>
    <t>1635. Otras deudas a largo plazo, con otras partes vinculadas</t>
  </si>
  <si>
    <t>170. Deudas a largo plazo con entidades de crédito</t>
  </si>
  <si>
    <t>171. Deudas a largo plazo</t>
  </si>
  <si>
    <t>173. Proveedores de inmovilizado a largo plazo</t>
  </si>
  <si>
    <t>174. Acreedores por arrendamiento financiero a largo plazo</t>
  </si>
  <si>
    <t>175. Efectos a pagar a largo plazo</t>
  </si>
  <si>
    <t>176. Pasivos por derivados financieros a largo plazo</t>
  </si>
  <si>
    <t>177. Obligaciones y bonos</t>
  </si>
  <si>
    <t>179. Deudas representadas en otros valores negociables</t>
  </si>
  <si>
    <t>180. Fianzas recibidas a largo plazo</t>
  </si>
  <si>
    <t>185. Depósitos recibidos a largo plazo</t>
  </si>
  <si>
    <t>19. SITUACIONES TRANSITORIAS DE FINANCIACIÓN</t>
  </si>
  <si>
    <t>190. Acciones o participaciones emitidas</t>
  </si>
  <si>
    <t>192. Suscriptores de acciones</t>
  </si>
  <si>
    <t>194. Capital emitido pendiente de inscripción</t>
  </si>
  <si>
    <t>197. S uscriptores de acciones consideradas como pasivos financieros</t>
  </si>
  <si>
    <t>20. INMOVILIZACIONES INTANGIBLES</t>
  </si>
  <si>
    <t>200. Investigación</t>
  </si>
  <si>
    <t>201. Desarrollo</t>
  </si>
  <si>
    <t>202. Concesiones administrativas</t>
  </si>
  <si>
    <t>203. Propiedad industrial</t>
  </si>
  <si>
    <t>205. Derechos de traspaso</t>
  </si>
  <si>
    <t>206. Aplicaciones informáticas</t>
  </si>
  <si>
    <t>209. Anticipos para inmovilizaciones intangibles</t>
  </si>
  <si>
    <t>21. INMOVILIZACIONES MATERIALES</t>
  </si>
  <si>
    <t>210. Terrenos y bienes naturales</t>
  </si>
  <si>
    <t>211. Construcciones</t>
  </si>
  <si>
    <t>212. Instalaciones técnicas</t>
  </si>
  <si>
    <t>213. Maquinaria</t>
  </si>
  <si>
    <t>214. Utillaje</t>
  </si>
  <si>
    <t>215. Otras instalaciones</t>
  </si>
  <si>
    <t>216. Mobiliario</t>
  </si>
  <si>
    <t>217. Equipos para procesos de información</t>
  </si>
  <si>
    <t>218. Elementos de transporte</t>
  </si>
  <si>
    <t>219. Otro inmovilizado material</t>
  </si>
  <si>
    <t>22. INVERSIONES INMOBILIARIAS</t>
  </si>
  <si>
    <t>220. Inversiones en terrenos y bienes naturales</t>
  </si>
  <si>
    <t>221. Inversiones en construcciones</t>
  </si>
  <si>
    <t>23. INMOVILIZACIONES MATERIALES EN CURSO</t>
  </si>
  <si>
    <t>230. Adaptación de terrenos y bienes naturales</t>
  </si>
  <si>
    <t>231. Construcciones en curso</t>
  </si>
  <si>
    <t>232. Instalaciones técnicas en montaje</t>
  </si>
  <si>
    <t>233. Maquinaria en montaje</t>
  </si>
  <si>
    <t>237. Equipos para procesos de información en montaje</t>
  </si>
  <si>
    <t>239. Anticipos para inmovilizaciones materiales</t>
  </si>
  <si>
    <t>24. INVERSIONES FINANCIERAS A LARGO PLAZO EN PARTES VINCULADAS</t>
  </si>
  <si>
    <t>240. Participaciones a largo plazo en partes vinculadas</t>
  </si>
  <si>
    <t>2403. Participaciones a largo plazo en empresas del grupo</t>
  </si>
  <si>
    <t>2404. Participaciones a largo plazo en empresas asociadas</t>
  </si>
  <si>
    <t>2405. Participaciones a largo plazo en otras partes vinculadas</t>
  </si>
  <si>
    <t>242. Créditos a largo plazo a partes vinculadas</t>
  </si>
  <si>
    <t>2423. Créditos a largo plazo a empresas del grupo</t>
  </si>
  <si>
    <t>2424. Créditos a largo plazoa empresas asociadas</t>
  </si>
  <si>
    <t>2425. Créditos a largo plazo a otras partes vinculadas</t>
  </si>
  <si>
    <t>25. OTRAS INVERSIONES FINANCIERAS A LARGO PLAZO</t>
  </si>
  <si>
    <t>251. Valores representativos de deuda a largo plazo</t>
  </si>
  <si>
    <t>252. Créditos a largo plazo</t>
  </si>
  <si>
    <t>253. Créditos a largo plazo por enajenación de inmovilizado</t>
  </si>
  <si>
    <t>254. Créditos a largo plazo al personal</t>
  </si>
  <si>
    <t>255. Activos por derivados financieros a largo plazo</t>
  </si>
  <si>
    <t>258. Imposiciones a largo plazo</t>
  </si>
  <si>
    <t>26. FIANZAS Y DEPÓSITOS CONSTITUIDOS A LARGO PLAZO</t>
  </si>
  <si>
    <t>260. Fianzas constituidas a largo plazo</t>
  </si>
  <si>
    <t>265. Depósitos constituidos a largo plazo</t>
  </si>
  <si>
    <t>28. AMORTIZACIÓN ACUMULADA DEL INMOVILIZADO</t>
  </si>
  <si>
    <t>280. Amortización acumulada del inmovilizado intangible</t>
  </si>
  <si>
    <t>2800. Amortización acumulada de investigación</t>
  </si>
  <si>
    <t>2801. Amortización acumulada de desarrollo</t>
  </si>
  <si>
    <t>2802. Amortización acumulada de concesiones administrativas</t>
  </si>
  <si>
    <t>2803. Amortización acumulada de propiedad industrial</t>
  </si>
  <si>
    <t>2805. Amortización acumulada de derechos de traspaso</t>
  </si>
  <si>
    <t>2806. Amortización acumulada de aplicaciones informáticas</t>
  </si>
  <si>
    <t>281. Amortización acumulada del inmovilizado material</t>
  </si>
  <si>
    <t>2811. Amortización acumulada de construcciones</t>
  </si>
  <si>
    <t>2812. Amortización acumulada de instalaciones técnicas</t>
  </si>
  <si>
    <t>2813. Amortización acumulada de maquinaria</t>
  </si>
  <si>
    <t>2814. Amortización acumulada de utillaje</t>
  </si>
  <si>
    <t>2815. Amortización acumulada de otras instalaciones</t>
  </si>
  <si>
    <t>2816. Amortización acumulada de mobiliario</t>
  </si>
  <si>
    <t>2817. Amortización acumulada de equipos para procesos de información</t>
  </si>
  <si>
    <t>2818. Amortización acumulada de elementos de transporte</t>
  </si>
  <si>
    <t>2819. Amortización acumulada de otro inmovilizado material</t>
  </si>
  <si>
    <t>282. Amortización acumulada de las inversiones inmobiliarias</t>
  </si>
  <si>
    <t>29. DETERIORO DE VALOR DE ACTIVOS NO CORRIENTES</t>
  </si>
  <si>
    <t>290. Deterioro de valor del inmovilizado intangible</t>
  </si>
  <si>
    <t>2900. Deterioro de valor de investigación</t>
  </si>
  <si>
    <t>2901. Deterioro de valor de desarrollo</t>
  </si>
  <si>
    <t>2902. Deterioro de valor de concesiones administrativas</t>
  </si>
  <si>
    <t>2903. Deterioro de valor de propiedad industrial</t>
  </si>
  <si>
    <t>2905. Deterioro de valor de derechos de traspaso</t>
  </si>
  <si>
    <t>2906. Deterioro de valor de aplicaciones informáticas</t>
  </si>
  <si>
    <t>291. Deterioro de valor del inmovilizado material</t>
  </si>
  <si>
    <t>2910. Deterioro de valor de terrenos y bienes naturales</t>
  </si>
  <si>
    <t>2911. Deterioro de valor de construcciones</t>
  </si>
  <si>
    <t>2912. Deterioro de valor de instalaciones técnicas</t>
  </si>
  <si>
    <t>2913. Deterioro de valor de maquinaria</t>
  </si>
  <si>
    <t>2914. Deterioro de valor de utillaje</t>
  </si>
  <si>
    <t>2915. Deterioro de valor de otras instalaciones</t>
  </si>
  <si>
    <t>2916. Deterioro de valor de mobiliario</t>
  </si>
  <si>
    <t>2917. Deterioro de valor de equipos para procesos de información</t>
  </si>
  <si>
    <t>2918. Deterioro de valor de elementos de transporte</t>
  </si>
  <si>
    <t>2919. Deterioro de valor de otro inmovilizado material</t>
  </si>
  <si>
    <t>292. Deterioro de valor de las inversiones inmobiliarias</t>
  </si>
  <si>
    <t>2920. Deterioro de valor de los terrenos y bienes naturales</t>
  </si>
  <si>
    <t>2921. Deterioro de valor de construcciones</t>
  </si>
  <si>
    <t>30. COMERCIALES</t>
  </si>
  <si>
    <t>300. Mercaderías A</t>
  </si>
  <si>
    <t>301. Mercaderías B</t>
  </si>
  <si>
    <t>31. MATERIAS PRIMAS</t>
  </si>
  <si>
    <t>310. Materias primas A</t>
  </si>
  <si>
    <t>311. Materias primas B</t>
  </si>
  <si>
    <t>32. OTROS APROVISIONAMIENTOS</t>
  </si>
  <si>
    <t>320. Elementos y conjuntos incorporables</t>
  </si>
  <si>
    <t>321. Combustibles</t>
  </si>
  <si>
    <t>322. Repuestos</t>
  </si>
  <si>
    <t>325. Materiales diversos</t>
  </si>
  <si>
    <t>326. Embalajes</t>
  </si>
  <si>
    <t>327. Envases</t>
  </si>
  <si>
    <t>328. Material de oficina</t>
  </si>
  <si>
    <t>33. PRODUCTOS EN CURSO</t>
  </si>
  <si>
    <t>330. Productos en curso A</t>
  </si>
  <si>
    <t>331. Productos en curso B</t>
  </si>
  <si>
    <t>34. PRODUCTOS SEMITERMINADOS</t>
  </si>
  <si>
    <t>340. Productos semiterminados A</t>
  </si>
  <si>
    <t>341. Productos semiterminados B</t>
  </si>
  <si>
    <t>35. PRODUCTOS TERMINADOS</t>
  </si>
  <si>
    <t>350. Productos terminados A</t>
  </si>
  <si>
    <t>351. Productos terminados B</t>
  </si>
  <si>
    <t>36. SUBPRODUCTOS, RESIDUOS Y MATERIALES RECUPERADOS</t>
  </si>
  <si>
    <t>360. Subproductos A</t>
  </si>
  <si>
    <t>361. Subproductos B</t>
  </si>
  <si>
    <t>365. Residuos A</t>
  </si>
  <si>
    <t>366. Residuos B</t>
  </si>
  <si>
    <t>368. Materiales recuperados A</t>
  </si>
  <si>
    <t>369. Materiales recuperados B</t>
  </si>
  <si>
    <t>39. DETERIORO DE VALOR DE LAS EXISTENCIAS</t>
  </si>
  <si>
    <t>390. Deterioro de valor de las mercaderías</t>
  </si>
  <si>
    <t>391. Deterioro de valor de las materias primas</t>
  </si>
  <si>
    <t>392. Deterioro de valor de otros aprovisionamientos</t>
  </si>
  <si>
    <t>393. Deterioro de valor de los productos en curso</t>
  </si>
  <si>
    <t>394. Deterioro de valor de los productos semiterminados</t>
  </si>
  <si>
    <t>395. Deterioro de valor de los productos terminados</t>
  </si>
  <si>
    <t>40. PROVEEDORES</t>
  </si>
  <si>
    <t>400. Proveedores</t>
  </si>
  <si>
    <t>4000. Proveedores (euros)</t>
  </si>
  <si>
    <t>4004. Proveedores (moneda extranjera)</t>
  </si>
  <si>
    <t>4009. Proveedores, facturas pendientes de recibir o de formalizar</t>
  </si>
  <si>
    <t>401. Proveedores, efectos comerciales a pagar</t>
  </si>
  <si>
    <t>403. Proveedores, empresas del grupo</t>
  </si>
  <si>
    <t>4030. Proveedores, empresas del grupo (euros)</t>
  </si>
  <si>
    <t>4031. Efectos comerciales a pagar, empresas del grupo</t>
  </si>
  <si>
    <t>4034. Proveedores, empresas del grupo (moneda extranjera)</t>
  </si>
  <si>
    <t>404. Proveedores, empresas asociadas</t>
  </si>
  <si>
    <t>405. Proveedores, otras partes vinculadas</t>
  </si>
  <si>
    <t>406. Envases y embalajes a devolver a proveedores</t>
  </si>
  <si>
    <t>407. Anticipos a proveedores</t>
  </si>
  <si>
    <t>41. ACREEDORES VARIOS</t>
  </si>
  <si>
    <t>410. Acreedores por prestaciones de servicios</t>
  </si>
  <si>
    <t>4100. Acreedores por prestaciones de servicios (euros)</t>
  </si>
  <si>
    <t>4104. Acreedores por prestaciones de servicios, (moneda extranjera)</t>
  </si>
  <si>
    <t>411. Acreedores, efectos comerciales a pagar</t>
  </si>
  <si>
    <t>419. Acreedores por operaciones en común</t>
  </si>
  <si>
    <t>43. CLIENTES</t>
  </si>
  <si>
    <t>430. Clientes</t>
  </si>
  <si>
    <t>4300. Clientes (euros)</t>
  </si>
  <si>
    <t>4304. Clientes (moneda extranjera)</t>
  </si>
  <si>
    <t>4309. Clientes, facturas pendientes de formalizar</t>
  </si>
  <si>
    <t>431. Clientes, efectos comerciales a cobrar</t>
  </si>
  <si>
    <t>4310. Efectos comerciales en cartera</t>
  </si>
  <si>
    <t>4311. Efectos comerciales descontados</t>
  </si>
  <si>
    <t>4312. Efectos comerciales en gestión de cobro</t>
  </si>
  <si>
    <t>4315. Efectos comerciales impagados</t>
  </si>
  <si>
    <t>432. Clientes, operaciones de “factoring”</t>
  </si>
  <si>
    <t>433. Clientes, empresas del grupo</t>
  </si>
  <si>
    <t>4330. Clientes empresas del grupo (euros)</t>
  </si>
  <si>
    <t>4331. Efectos comerciales a cobrar, empresas del grupo</t>
  </si>
  <si>
    <t>4332. Clientes empresas del grupo, operaciones de “factoring”</t>
  </si>
  <si>
    <t>4334. Clientes empresas del grupo (moneda extranjera)</t>
  </si>
  <si>
    <t>4336. Clientes empresas del grupo de dudoso cobro</t>
  </si>
  <si>
    <t>4337. Envases y embalajes a devolver a clientes, empresas del grupo</t>
  </si>
  <si>
    <t>4339. Clientes empresas del grupo, facturas pendientes de formalizar</t>
  </si>
  <si>
    <t>434. Clientes, empresas asociadas</t>
  </si>
  <si>
    <t>435. Clientes, otras partes vinculadas</t>
  </si>
  <si>
    <t>436. Clientes de dudoso cobro</t>
  </si>
  <si>
    <t>437. Envases y embalajes a devolver por clientes</t>
  </si>
  <si>
    <t>438. Anticipos de clientes</t>
  </si>
  <si>
    <t>44. DEUDORES VARIOS</t>
  </si>
  <si>
    <t>440. D eudores</t>
  </si>
  <si>
    <t>4400. Deudores (euros)</t>
  </si>
  <si>
    <t>4404. Deudores (moneda extranjera)</t>
  </si>
  <si>
    <t>4409. Deudores, facturas pendientes de formalizar</t>
  </si>
  <si>
    <t>441. D eudores, efectos comerciales a cobrar</t>
  </si>
  <si>
    <t>4410. Deudores, efectos comerciales en cartera</t>
  </si>
  <si>
    <t>4411. Deudores, efectos comerciales descontados</t>
  </si>
  <si>
    <t>4412. Deudores, efectos comerciales en gestión de cobro</t>
  </si>
  <si>
    <t>4415. Deudores, efectos comerciales impagados</t>
  </si>
  <si>
    <t>446. Deudores de dudoso cobro</t>
  </si>
  <si>
    <t>449. Deudores por operaciones en común</t>
  </si>
  <si>
    <t>46. PERSONAL</t>
  </si>
  <si>
    <t>460. Anticipos de remuneraciones</t>
  </si>
  <si>
    <t>465. Remuneraciones pendientes de pago</t>
  </si>
  <si>
    <t>47. ADMINISTRACIONES PÚBLICAS</t>
  </si>
  <si>
    <t>470. Hacienda Pública, deudora por diversos conceptos</t>
  </si>
  <si>
    <t>4700. Hacienda Pública, deudora por IVA</t>
  </si>
  <si>
    <t>4709. Hacienda Pública, deudora por devolución de impuestos</t>
  </si>
  <si>
    <t>471. Organismos de la Seguridad Social, deudores</t>
  </si>
  <si>
    <t>472. Hacienda Pública, IVA soportado</t>
  </si>
  <si>
    <t>473. Hacienda Pública, retenciones y pagos a cuenta</t>
  </si>
  <si>
    <t>474. Activos por impuesto diferido</t>
  </si>
  <si>
    <t>4740. Activos por diferencias temporarias deducibles</t>
  </si>
  <si>
    <t>4742. Derechos por deducciones y bonificaciones pendientes de aplicar</t>
  </si>
  <si>
    <t>4745. Crédito por pérdidas a compensar del ejercicio</t>
  </si>
  <si>
    <t>475. Hacienda Pública, acreedora por conceptos fiscales</t>
  </si>
  <si>
    <t>4750. Hacienda Pública, acreedora por IVA</t>
  </si>
  <si>
    <t>4752. Hacienda Pública, acreedora por impuesto sobre sociedades</t>
  </si>
  <si>
    <t>476. Organismos de la Seguridad Social, acreedores</t>
  </si>
  <si>
    <t>477. Hacienda Pública, IVA repercutido</t>
  </si>
  <si>
    <t>479. Pasivos por diferencias temporarias imponibles</t>
  </si>
  <si>
    <t>48. AJUSTES POR PERIODIFICACIÓN</t>
  </si>
  <si>
    <t>480. Gastos anticipados</t>
  </si>
  <si>
    <t>485. Ingresos anticipados</t>
  </si>
  <si>
    <t>490. Deterioro de valor de créditos por operaciones comerciales</t>
  </si>
  <si>
    <t>499. Provisiones por operaciones comerciales</t>
  </si>
  <si>
    <t>4994. Provisión por contratos onerosos</t>
  </si>
  <si>
    <t>4999. Provisión para otras operaciones comerciales</t>
  </si>
  <si>
    <t>500. Obligaciones y bonos a corto plazo</t>
  </si>
  <si>
    <t>509. Valores negociables amortizados</t>
  </si>
  <si>
    <t>5090. Obligaciones y bonos amortizados</t>
  </si>
  <si>
    <t>5095. Otros valores negociables amortizados</t>
  </si>
  <si>
    <t>51. DEUDAS A CORTO PLAZO CON PARTES VINCULADAS</t>
  </si>
  <si>
    <t>510. Deudas a corto plazo con entidades de crédito vinculadas</t>
  </si>
  <si>
    <t>5105. Deudas a corto plazo con otras entidades de crédito vinculadas</t>
  </si>
  <si>
    <t>511. Proveedores de inmovilizado a corto plazo, partes vinculadas</t>
  </si>
  <si>
    <t>5114. Proveedores de inmovilizado a corto plazo, empresas asociadas</t>
  </si>
  <si>
    <t>5115. Proveedores de inmovilizado a corto plazo, otras partes vinculadas</t>
  </si>
  <si>
    <t>512. Acreedores por arrendamiento financiero a corto plazo,</t>
  </si>
  <si>
    <t>partes vinculadas.</t>
  </si>
  <si>
    <t>513. Otras deudas a corto plazo con partes vinculadas</t>
  </si>
  <si>
    <t>5133. Otras deudas a corto plazo con empresas del grupo</t>
  </si>
  <si>
    <t>5134. Otras deudas a corto plazo con empresas asociadas</t>
  </si>
  <si>
    <t>5135. Otras deudas a corto plazo con otras partes vinculadas</t>
  </si>
  <si>
    <t>514. Intereses a corto plazo de deudas con partes vinculadas</t>
  </si>
  <si>
    <t>5143. Intereses a corto plazo de deudas, empresas del grupo</t>
  </si>
  <si>
    <t>5144. Intereses a corto plazo de deudas, empresas asociadas</t>
  </si>
  <si>
    <t>5145. Intereses a corto plazo de deudas, otras partes vinculadas</t>
  </si>
  <si>
    <t>520. Deudas a corto plazo con entidades de crédito</t>
  </si>
  <si>
    <t>5200. Préstamos a corto plazo de entidades de crédito</t>
  </si>
  <si>
    <t>5201. Deudas a corto plazo por crédito dispuesto</t>
  </si>
  <si>
    <t>5208. Deudas por efectos descontados</t>
  </si>
  <si>
    <t>5209. Deudas por operaciones de “factoring”</t>
  </si>
  <si>
    <t>521. Deudas a corto plazo</t>
  </si>
  <si>
    <t>523. Proveedores de inmovilizado a corto plazo</t>
  </si>
  <si>
    <t>524. Acreedores por arrendamiento financiero a corto plazo</t>
  </si>
  <si>
    <t>525. Efectos a pagar a corto plazo</t>
  </si>
  <si>
    <t>526. Dividendo activo a pagar</t>
  </si>
  <si>
    <t>527. Intereses a corto plazo de deudas con entidades de crédito</t>
  </si>
  <si>
    <t>528. Intereses a corto plazo de deudas</t>
  </si>
  <si>
    <t>529. Provisiones a corto plazo</t>
  </si>
  <si>
    <t>5291. Provisión a corto plazo para impuestos</t>
  </si>
  <si>
    <t>5292. Provisión a corto plazo para otras responsabilidades</t>
  </si>
  <si>
    <t>5295. Provisión a corto plazo para actuaciones medioambientales</t>
  </si>
  <si>
    <t>53. INVERSIONES FINANCIERAS A CORTO PLAZO EN PARTES VINCULADAS</t>
  </si>
  <si>
    <t>530. Participaciones a corto plazo en partes vinculadas</t>
  </si>
  <si>
    <t>5303. Participaciones a corto plazo, en empresas del grupo</t>
  </si>
  <si>
    <t>5304. Participaciones a corto plazo, en empresas asociadas</t>
  </si>
  <si>
    <t>5305. Participaciones a corto plazo, en otras partes vinculadas</t>
  </si>
  <si>
    <t>532. Créditos a corto plazo a partes vinculadas</t>
  </si>
  <si>
    <t>5323. Créditos a corto plazo a empresas del grupo</t>
  </si>
  <si>
    <t>5324. Créditos a corto plazo a empresas asociadas</t>
  </si>
  <si>
    <t>5325. Créditos a corto plazo a otras partes vinculadas</t>
  </si>
  <si>
    <t>534. Intereses a corto plazo de créditos a partes vinculadas</t>
  </si>
  <si>
    <t>5343. Intereses a corto plazo de créditos a empresas del grupo</t>
  </si>
  <si>
    <t>5344. Intereses a corto plazo de créditos a empresas asociadas</t>
  </si>
  <si>
    <t>5345. Intereses a corto plazo de créditos a otras partes vinculadas</t>
  </si>
  <si>
    <t>535. Dividendo a cobrar de inversiones financieras en partes vinculadas</t>
  </si>
  <si>
    <t>5353. Dividendo a cobrar de empresas del grupo</t>
  </si>
  <si>
    <t>5354. Dividendo a cobrar de empresas asociadas</t>
  </si>
  <si>
    <t>5355. Dividendo a cobrar de otras partes vinculadas</t>
  </si>
  <si>
    <t>54. OTRAS INVERSIONES FINANCIERAS A CORTO PLAZO</t>
  </si>
  <si>
    <t>541. Valores representativos de deuda a corto plazo</t>
  </si>
  <si>
    <t>542. Créditos a corto plazo</t>
  </si>
  <si>
    <t>543. Créditos a corto plazo por enajenación de inmovilizado</t>
  </si>
  <si>
    <t>544. Créditos a corto plazo al personal</t>
  </si>
  <si>
    <t>545. D ividendo a cobrar</t>
  </si>
  <si>
    <t>546. Intereses a corto plazo de valores representativos de deuda</t>
  </si>
  <si>
    <t>547. Intereses a corto plazo de créditos</t>
  </si>
  <si>
    <t>548. Imposiciones a corto plazo</t>
  </si>
  <si>
    <t>55. OTRAS CUENTAS NO BANCARIAS</t>
  </si>
  <si>
    <t>550. Titular de la explotación</t>
  </si>
  <si>
    <t>551. Cuenta corriente con socios y administradores</t>
  </si>
  <si>
    <t>552. Cuenta corriente con otras personas y entidades vinculadas</t>
  </si>
  <si>
    <t>5523. Cuenta corriente con empresas del grupo</t>
  </si>
  <si>
    <t>5524. Cuenta corriente con empresas asociadas</t>
  </si>
  <si>
    <t>5525. Cuenta corriente con otras partes vinculadas</t>
  </si>
  <si>
    <t>555. Partidas pendientes de aplicación</t>
  </si>
  <si>
    <t>5564. Desembolsos exigidos sobre participaciones, empresas asociadas</t>
  </si>
  <si>
    <t>5565. Desembolsos exigidos sobre participaciones, otras partes vinculadas</t>
  </si>
  <si>
    <t>5566. Desembolsos exigidos sobre participaciones de otras empresas</t>
  </si>
  <si>
    <t>557. Dividendo activo a cuenta</t>
  </si>
  <si>
    <t>558. Socios por desembolsos exigidos</t>
  </si>
  <si>
    <t>559. Derivados financieros a corto plazo</t>
  </si>
  <si>
    <t>5590. Activos por derivados financieros a corto plazo</t>
  </si>
  <si>
    <t>5595. Pasivos por derivados financieros a corto plazo</t>
  </si>
  <si>
    <t>560. Fianzas recibidas a corto plazo</t>
  </si>
  <si>
    <t>561. Depósitos recibidos a corto plazo</t>
  </si>
  <si>
    <t>565. Fianzas constituidas a corto plazo</t>
  </si>
  <si>
    <t>566. Depósitos constituidos a corto plazo</t>
  </si>
  <si>
    <t>567. Intereses pagados por anticipado</t>
  </si>
  <si>
    <t>568. Intereses cobrados por anticipado</t>
  </si>
  <si>
    <t>57. TESORERÍA</t>
  </si>
  <si>
    <t>570. Caja, euros</t>
  </si>
  <si>
    <t>571. Caja, moneda extranjera</t>
  </si>
  <si>
    <t>574. Bancos e instituciones de crédito, cuentas de ahorro, euros</t>
  </si>
  <si>
    <t>576. Inversiones a corto plazo de gran liquidez</t>
  </si>
  <si>
    <t>595. Deterioro de valor de créditos a corto plazo a partes vinculadas</t>
  </si>
  <si>
    <t>5953. Deterioro de valor de créditos a corto plazo a empresas del grupo</t>
  </si>
  <si>
    <t>5954. Deterioro de valor de créditos a corto plazo a empresas asociadas</t>
  </si>
  <si>
    <t>596. Deterioro de valor de participaciones a corto plazo</t>
  </si>
  <si>
    <t>598. Deterioro de valor de créditos a corto plazo</t>
  </si>
  <si>
    <t>60. COMPRAS</t>
  </si>
  <si>
    <t>600. Compras de mercaderías</t>
  </si>
  <si>
    <t>601. Compras de materias primas</t>
  </si>
  <si>
    <t>602. Compras de otros aprovisionamientos</t>
  </si>
  <si>
    <t>606. Descuentos sobre compras por pronto pago</t>
  </si>
  <si>
    <t>6060. Descuentos sobre compras por pronto pago de mercaderías</t>
  </si>
  <si>
    <t>6062. Descuentos sobre compras por pronto pago de otros aprovisionamientos</t>
  </si>
  <si>
    <t>607. Trabajos realizados por otras empresas</t>
  </si>
  <si>
    <t>608. Devoluciones de compras y operaciones similares</t>
  </si>
  <si>
    <t>6080. Devoluciones de compras de mercaderías</t>
  </si>
  <si>
    <t>6081. Devoluciones de compras de materias primas</t>
  </si>
  <si>
    <t>6082. Devoluciones de compras de otros aprovisionamientos</t>
  </si>
  <si>
    <t>609. “Rappels” por compras</t>
  </si>
  <si>
    <t>6090. “Rappels” por compras de mercaderías</t>
  </si>
  <si>
    <t>6091. “Rappels” por compras de materias primas</t>
  </si>
  <si>
    <t>6092. “Rappels” por compras de otros aprovisionamientos</t>
  </si>
  <si>
    <t>61. VARIACIÓN DE EXISTENCIAS</t>
  </si>
  <si>
    <t>610. Variación de existencias de mercaderías</t>
  </si>
  <si>
    <t>611. Variación de existencias de materias primas</t>
  </si>
  <si>
    <t>612. Variación de existencias de otros aprovisionamientos</t>
  </si>
  <si>
    <t>62. SERVICIOS EXTERIORES</t>
  </si>
  <si>
    <t>620. Gastos en investigación y desarrollo del ejercicio</t>
  </si>
  <si>
    <t>621. Arrendamientos y cánones</t>
  </si>
  <si>
    <t>622. Reparaciones y conservación</t>
  </si>
  <si>
    <t>623. Servicios de profesionales independientes</t>
  </si>
  <si>
    <t>624. Transportes</t>
  </si>
  <si>
    <t>625. Primas de seguros</t>
  </si>
  <si>
    <t>626. Servicios bancarios y similares</t>
  </si>
  <si>
    <t>627. Publicidad, propaganda y relaciones públicas</t>
  </si>
  <si>
    <t>628. Suministros</t>
  </si>
  <si>
    <t>629. Otros servicios</t>
  </si>
  <si>
    <t>63. TRIBUTOS</t>
  </si>
  <si>
    <t>630. Impuesto sobre beneficios</t>
  </si>
  <si>
    <t>6300. Impuesto corriente</t>
  </si>
  <si>
    <t>6301. Impuesto diferido</t>
  </si>
  <si>
    <t>631. Otros tributos</t>
  </si>
  <si>
    <t>633. Ajustes negativos en la imposición sobre beneficios</t>
  </si>
  <si>
    <t>634. Ajustes negativos en la imposición indirecta</t>
  </si>
  <si>
    <t>6341. Ajustes negativos en IVA de activo corriente</t>
  </si>
  <si>
    <t>6342. Ajustes negativos en IVA de inversiones</t>
  </si>
  <si>
    <t>636. Devolución de impuestos</t>
  </si>
  <si>
    <t>638. Ajustes positivos en la imposición sobre beneficios</t>
  </si>
  <si>
    <t>639. Ajustes positivos en la imposición indirecta</t>
  </si>
  <si>
    <t>6391. Ajustes positivos en IVA de activo corriente</t>
  </si>
  <si>
    <t>6392. Ajustes positivos en IVA de inversiones</t>
  </si>
  <si>
    <t>64. GASTOS DE PERSONAL</t>
  </si>
  <si>
    <t>640. Sueldos y salarios</t>
  </si>
  <si>
    <t>641. Indemnizaciones</t>
  </si>
  <si>
    <t>642. Seguridad Social a cargo de la empresa</t>
  </si>
  <si>
    <t>649. Otros gastos sociales</t>
  </si>
  <si>
    <t>65. OTROS GASTOS DE GESTIÓN</t>
  </si>
  <si>
    <t>650. Pérdidas de créditos comerciales incobrables</t>
  </si>
  <si>
    <t>651. Resultados de operaciones en común</t>
  </si>
  <si>
    <t>6510. Beneficio transferido (gestor)</t>
  </si>
  <si>
    <t>6511. Pérdida soportada (partícipe o asociado no gestor)</t>
  </si>
  <si>
    <t>659. Otras pérdidas en gestión corriente</t>
  </si>
  <si>
    <t>66. GASTOS FINANCIEROS</t>
  </si>
  <si>
    <t>660. Gastos financieros por actualización de provisiones</t>
  </si>
  <si>
    <t>661. Intereses de obligaciones y bonos</t>
  </si>
  <si>
    <t>6610. Intereses de obligaciones y bonos a largo plazo, empresas del grupo</t>
  </si>
  <si>
    <t>6611. Intereses de obligaciones y bonos a largo plazo, empresas asociadas</t>
  </si>
  <si>
    <t>6613. Intereses de obligaciones y bonos a largo plazo, otras empresas</t>
  </si>
  <si>
    <t>6618. Intereses de obligaciones y bonos a corto plazo, otras empresas</t>
  </si>
  <si>
    <t>662. Intereses de deudas</t>
  </si>
  <si>
    <t>6620. Intereses de deudas, empresas del grupo</t>
  </si>
  <si>
    <t>6621. Intereses de deudas, empresas asociadas</t>
  </si>
  <si>
    <t>6622. Intereses de deudas, otras partes vinculadas</t>
  </si>
  <si>
    <t>6623. Intereses de deudas con entidades de crédito</t>
  </si>
  <si>
    <t>6624. Intereses de deudas, otras empresas</t>
  </si>
  <si>
    <t>6640. Dividendos de pasivos, empresas del grupo</t>
  </si>
  <si>
    <t>6641. Dividendos de pasivos, empresas asociadas</t>
  </si>
  <si>
    <t>6642. Dividendos de pasivos, otras partes vinculadas</t>
  </si>
  <si>
    <t>6643. Dividendos de pasivos, otras empresas</t>
  </si>
  <si>
    <t>665. Intereses por descuento de efectos y operaciones de “factoring”</t>
  </si>
  <si>
    <t>667. Pérdidas de créditos no comerciales</t>
  </si>
  <si>
    <t>6670. Pérdidas de créditos a largo plazo, empresas del grupo</t>
  </si>
  <si>
    <t>6671. Pérdidas de créditos a largo plazo, empresas asociadas</t>
  </si>
  <si>
    <t>6672. Pérdidas de créditos a largo plazo, otras partes vinculadas</t>
  </si>
  <si>
    <t>6673. Pérdidas de créditos a largo plazo, otras empresas</t>
  </si>
  <si>
    <t>6675. Pérdidas de créditos a corto plazo, empresas del grupo</t>
  </si>
  <si>
    <t>6676. Pérdidas de créditos a corto plazo, empresas asociadas</t>
  </si>
  <si>
    <t>6677. Pérdidas de créditos a corto plazo, otras partes vinculadas</t>
  </si>
  <si>
    <t>6678. Pérdidas de créditos a corto plazo, otras empresas</t>
  </si>
  <si>
    <t>668. Diferencias negativas de cambio</t>
  </si>
  <si>
    <t>669. Otros gastos financieros</t>
  </si>
  <si>
    <t>670. Pérdidas procedentes del inmovilizado intangible</t>
  </si>
  <si>
    <t>671. Pérdidas procedentes del inmovilizado material</t>
  </si>
  <si>
    <t>672. Pérdidas procedentes de las inversiones inmobiliarias</t>
  </si>
  <si>
    <t>678. Gastos excepcionales</t>
  </si>
  <si>
    <t>68. DOTACIONES PARA AMORTIZACIONES</t>
  </si>
  <si>
    <t>680. Amortización del inmovilizado intangible</t>
  </si>
  <si>
    <t>681. Amortización del inmovilizado material</t>
  </si>
  <si>
    <t>682. Amortización de las inversiones inmobiliarias</t>
  </si>
  <si>
    <t>69. PÉRDIDAS POR DETERIORO Y OTRAS DOTACIONES</t>
  </si>
  <si>
    <t>690. Pérdidas por deterioro del inmovilizado intangible</t>
  </si>
  <si>
    <t>691. Pérdidas por deterioro del inmovilizado material</t>
  </si>
  <si>
    <t>692. Pérdidas por deterioro de las inversiones inmobiliarias</t>
  </si>
  <si>
    <t>693. Pérdidas por deterioro de existencias</t>
  </si>
  <si>
    <t>6931. Pérdidas por deterioro de mercaderías</t>
  </si>
  <si>
    <t>6932. Pérdidas por deterioro de materias primas</t>
  </si>
  <si>
    <t>6933. Pérdidas por deterioro de otros aprovisionamientos</t>
  </si>
  <si>
    <t>694. Pérdidas por deterioro de créditos por operaciones comerciales</t>
  </si>
  <si>
    <t>695. Dotación a la provisión por operaciones comerciales</t>
  </si>
  <si>
    <t>6954. Dotación a la provisión por contratos onerosos</t>
  </si>
  <si>
    <t>6959. Dotación a la provisión para otras operaciones comerciales</t>
  </si>
  <si>
    <t>697. Pérdidas por deterioro de créditos a largo plazo</t>
  </si>
  <si>
    <t>6973. Pérdidas por deterioro de créditos a largo plazo, otras empresas</t>
  </si>
  <si>
    <t>699. Pérdidas por deterioro de créditos a corto plazo</t>
  </si>
  <si>
    <t>6993. Pérdidas por deterioro de créditos a corto plazo, otras empresas</t>
  </si>
  <si>
    <t>700. Ventas de mercaderías</t>
  </si>
  <si>
    <t>701. Ventas de productos terminados</t>
  </si>
  <si>
    <t>702. Ventas de productos semiterminados</t>
  </si>
  <si>
    <t>703. Ventas de subproductos y residuos</t>
  </si>
  <si>
    <t>704. Ventas de envases y embalajes</t>
  </si>
  <si>
    <t>705. Prestaciones de servicios</t>
  </si>
  <si>
    <t>706. Descuentos sobre ventas por pronto pago</t>
  </si>
  <si>
    <t>7060. Descuentos sobre ventas por pronto pago de mercaderías</t>
  </si>
  <si>
    <t>7062. Descuentos sobre ventas por pronto pago de productos semiterminados</t>
  </si>
  <si>
    <t>708. Devoluciones de ventas y operaciones similares</t>
  </si>
  <si>
    <t>7080. Devoluciones de ventas de mercaderías</t>
  </si>
  <si>
    <t>7081. Devoluciones de ventas de productos terminados</t>
  </si>
  <si>
    <t>7082. Devoluciones de ventas de productos semiterminados</t>
  </si>
  <si>
    <t>7083. Devoluciones de ventas de subproductos y residuos</t>
  </si>
  <si>
    <t>7084. Devoluciones de ventas de envases y embalajes</t>
  </si>
  <si>
    <t>709. “Rappels” sobre ventas</t>
  </si>
  <si>
    <t>7090. “Rappels” sobre ventas de mercaderías</t>
  </si>
  <si>
    <t>7091. “Rappels” sobre ventas de productos terminados</t>
  </si>
  <si>
    <t>7092. “Rappels” sobre ventas de productos semiterminados</t>
  </si>
  <si>
    <t>7093. “Rappels” sobre ventas de subproductos y residuos</t>
  </si>
  <si>
    <t>7094. “Rappels” sobre ventas de envases y embalajes</t>
  </si>
  <si>
    <t>71. VARIACIÓN DE EXISTENCIAS</t>
  </si>
  <si>
    <t>710. Variación de existencias de productos en curso</t>
  </si>
  <si>
    <t>711. Variación de existencias de productos semiterminados</t>
  </si>
  <si>
    <t>712. Variación de existencias de productos terminados</t>
  </si>
  <si>
    <t>73. TRABAJOS REALIZADOS PARA LA EMPRESA</t>
  </si>
  <si>
    <t>730. Trabajos realizados para el inmovilizado intangible</t>
  </si>
  <si>
    <t>731. Trabajos realizados para el inmovilizado material</t>
  </si>
  <si>
    <t>732. Trabajos realizados en inversiones inmobiliarias</t>
  </si>
  <si>
    <t>74. SUBVENCIONES, DONACIONES Y LEGADOS</t>
  </si>
  <si>
    <t>740. Subvenciones, donaciones y legados a la explotación</t>
  </si>
  <si>
    <t>75. OTROS INGRESOS DE GESTIÓN</t>
  </si>
  <si>
    <t>751. Resultados de operaciones en común</t>
  </si>
  <si>
    <t>7510. Pérdida transferida (gestor)</t>
  </si>
  <si>
    <t>752. Ingresos por arrendamientos</t>
  </si>
  <si>
    <t>753. Ingresos de propiedad industrial cedida en explotación</t>
  </si>
  <si>
    <t>754. Ingresos por comisiones</t>
  </si>
  <si>
    <t>755. Ingresos por servicios al personal</t>
  </si>
  <si>
    <t>759. Ingresos por servicios diversos</t>
  </si>
  <si>
    <t>76. INGRESOS FINANCIEROS</t>
  </si>
  <si>
    <t>760. Ingresos de participaciones en instrumentos de patrimonio</t>
  </si>
  <si>
    <t>761. Ingresos de valores representativos de deuda</t>
  </si>
  <si>
    <t>7613. Ingresos de valores representativos de deuda, otras empresas</t>
  </si>
  <si>
    <t>762. Ingresos de créditos</t>
  </si>
  <si>
    <t>7620. Ingresos de créditos a largo plazo</t>
  </si>
  <si>
    <t>76200. Ingresos de créditos a largo plazo, empresas del grupo</t>
  </si>
  <si>
    <t>76201. Ingresos de créditos a largo plazo, empresas asociadas</t>
  </si>
  <si>
    <t>76202. Ingresos de créditos a largo plazo, otras partes vinculadas</t>
  </si>
  <si>
    <t>76203. I ngresos de créditos a largo plazo, otras empresas</t>
  </si>
  <si>
    <t>7621. Ingresos de créditos a corto plazo</t>
  </si>
  <si>
    <t>76210. Ingresos de créditos a corto plazo, empresas del grupo</t>
  </si>
  <si>
    <t>76211. Ingresos de créditos a corto plazo, empresas asociadas</t>
  </si>
  <si>
    <t>76212. Ingresos de créditos a corto plazo, otras partes vinculadas</t>
  </si>
  <si>
    <t>76213. Ingresos de créditos a corto plazo, otras empresas</t>
  </si>
  <si>
    <t>768. Diferencias positivas de cambio</t>
  </si>
  <si>
    <t>769. Otros ingresos financieros</t>
  </si>
  <si>
    <t>770. Beneficios procedentes del inmovilizado intangible</t>
  </si>
  <si>
    <t>771. Beneficios procedentes del inmovilizado material</t>
  </si>
  <si>
    <t>772. Beneficios procedentes de las inversiones inmobiliarias</t>
  </si>
  <si>
    <t>775. Beneficios por operaciones con obligaciones propias</t>
  </si>
  <si>
    <t>778. Ingresos excepcionales.</t>
  </si>
  <si>
    <t>790. Reversión del deterioro del inmovilizado intangible</t>
  </si>
  <si>
    <t>791. Reversión del deterioro del inmovilizado material</t>
  </si>
  <si>
    <t>792. Reversión del deterioro de las inversiones inmobiliarias</t>
  </si>
  <si>
    <t>793. Reversión del deterioro de existencias</t>
  </si>
  <si>
    <t>7931. Reversión del deterioro de mercaderías</t>
  </si>
  <si>
    <t>7932. Reversión del deterioro de materias primas</t>
  </si>
  <si>
    <t>7933. Reversión del deterioro de otros aprovisionamientos</t>
  </si>
  <si>
    <t>794. Reversión del deterioro de créditos por operaciones comerciales</t>
  </si>
  <si>
    <t>795. Exceso de provisiones</t>
  </si>
  <si>
    <t>7951. Exceso de provisión para impuestos</t>
  </si>
  <si>
    <t>7952. Exceso de provisión para otras responsabilidades</t>
  </si>
  <si>
    <t>7954. Exceso de provisión por operaciones comerciales</t>
  </si>
  <si>
    <t>79544. Exceso de provisión por contratos onerosos</t>
  </si>
  <si>
    <t>79549. Exceso de provisión para otras operaciones comerciales</t>
  </si>
  <si>
    <t>7955. Exceso de provisión para actuaciones medioambientales</t>
  </si>
  <si>
    <t>797. Reversión del deterioro de créditos a largo plazo</t>
  </si>
  <si>
    <t>7973. Reversión del deterioro de créditos a largo plazo, otras empresas</t>
  </si>
  <si>
    <t>799. Reversión del deterioro de créditos a corto plazo</t>
  </si>
  <si>
    <t>1034. Socios por desembolsos no exigidos, capital pendiente de inscripción</t>
  </si>
  <si>
    <t>1040. Socios por aportaciones no dinerarias pendientes, capital social</t>
  </si>
  <si>
    <t>1044. Socios por aportaciones no dinerarias pendientes, capital pendiente de inscripción</t>
  </si>
  <si>
    <t>1140. Reservas para acciones o participaciones de la sociedad dominante</t>
  </si>
  <si>
    <t>13. SUBVENCIONES, DONACIONES, LEGADOS Y OTROS AJUSTES EN PATRIMONIO NETO</t>
  </si>
  <si>
    <t>1370. Ingresos fiscales por diferencias permanentes a distribuir en varios ejercicios</t>
  </si>
  <si>
    <t>1371. Ingresos fiscales por deducciones y bonificaciones a distribuir en varios ejercicios</t>
  </si>
  <si>
    <t>143. Provisión por desmantelamiento, retiro o rehabilitación del inmovilizado</t>
  </si>
  <si>
    <t>cuenta</t>
  </si>
  <si>
    <t>num</t>
  </si>
  <si>
    <t>10</t>
  </si>
  <si>
    <t>100</t>
  </si>
  <si>
    <t>101</t>
  </si>
  <si>
    <t>102</t>
  </si>
  <si>
    <t>103</t>
  </si>
  <si>
    <t>1030</t>
  </si>
  <si>
    <t>1034</t>
  </si>
  <si>
    <t>104</t>
  </si>
  <si>
    <t>1040</t>
  </si>
  <si>
    <t>1044</t>
  </si>
  <si>
    <t>108</t>
  </si>
  <si>
    <t>109</t>
  </si>
  <si>
    <t>11</t>
  </si>
  <si>
    <t>110</t>
  </si>
  <si>
    <t>112</t>
  </si>
  <si>
    <t>113</t>
  </si>
  <si>
    <t>114</t>
  </si>
  <si>
    <t>1140</t>
  </si>
  <si>
    <t>1141</t>
  </si>
  <si>
    <t>1142</t>
  </si>
  <si>
    <t>1144</t>
  </si>
  <si>
    <t>118</t>
  </si>
  <si>
    <t>119</t>
  </si>
  <si>
    <t>12</t>
  </si>
  <si>
    <t>120</t>
  </si>
  <si>
    <t>121</t>
  </si>
  <si>
    <t>129</t>
  </si>
  <si>
    <t>13</t>
  </si>
  <si>
    <t>130</t>
  </si>
  <si>
    <t>131</t>
  </si>
  <si>
    <t>132</t>
  </si>
  <si>
    <t>137</t>
  </si>
  <si>
    <t>1370</t>
  </si>
  <si>
    <t>1371</t>
  </si>
  <si>
    <t>14</t>
  </si>
  <si>
    <t>141</t>
  </si>
  <si>
    <t>142</t>
  </si>
  <si>
    <t>143</t>
  </si>
  <si>
    <t>145</t>
  </si>
  <si>
    <t>15</t>
  </si>
  <si>
    <t>150. Acciones o participaciones a largo plazo consideradas como pasivos financieros</t>
  </si>
  <si>
    <t>150</t>
  </si>
  <si>
    <t>153. Desembolsos no exigidos por acciones o participaciones consideradas como pasivos financieros</t>
  </si>
  <si>
    <t>153</t>
  </si>
  <si>
    <t>1533. Desembolsos no exigidos, empresas del grupo</t>
  </si>
  <si>
    <t>1533</t>
  </si>
  <si>
    <t>1534. Desembolsos no exigidos, empresas asociadas</t>
  </si>
  <si>
    <t>1534</t>
  </si>
  <si>
    <t>1535</t>
  </si>
  <si>
    <t>1536</t>
  </si>
  <si>
    <t>154. Aportaciones no dinerarias pendientes por acciones o participaciones consideradas como pasivos financieros</t>
  </si>
  <si>
    <t>154</t>
  </si>
  <si>
    <t>1543</t>
  </si>
  <si>
    <t>1545</t>
  </si>
  <si>
    <t>1546</t>
  </si>
  <si>
    <t>16</t>
  </si>
  <si>
    <t>160</t>
  </si>
  <si>
    <t>1603. Deudas a largo plazo con entidades de crédito, empresas del grupo</t>
  </si>
  <si>
    <t>1603</t>
  </si>
  <si>
    <t>1604. Deudas a largo plazo con entidades de crédito, empresas asociadas</t>
  </si>
  <si>
    <t>1604</t>
  </si>
  <si>
    <t>1605</t>
  </si>
  <si>
    <t>161</t>
  </si>
  <si>
    <t>1613</t>
  </si>
  <si>
    <t>1614</t>
  </si>
  <si>
    <t>1615</t>
  </si>
  <si>
    <t>162. Acreedores por arrendamiento financiero a largo plazo, partes vinculadas</t>
  </si>
  <si>
    <t>162</t>
  </si>
  <si>
    <t>1623. Acreedores por arrendamiento financiero a largo plazo, empresas de grupo</t>
  </si>
  <si>
    <t>1623</t>
  </si>
  <si>
    <t>1624. Acreedores por arrendamiento financiero a largo plazo, empresas asociadas</t>
  </si>
  <si>
    <t>1624</t>
  </si>
  <si>
    <t>1625</t>
  </si>
  <si>
    <t>163</t>
  </si>
  <si>
    <t>1633</t>
  </si>
  <si>
    <t>1634</t>
  </si>
  <si>
    <t>1635</t>
  </si>
  <si>
    <t>17. DEUDAS A LARGO PLAZO POR PRÉSTAMOS RECIBIDOS, EMPRÉSTITOS Y OTROS CONCEPTOS</t>
  </si>
  <si>
    <t>17</t>
  </si>
  <si>
    <t>170</t>
  </si>
  <si>
    <t>171</t>
  </si>
  <si>
    <t>172. Deudas a largo plazo transformables en subvenciones, donaciones</t>
  </si>
  <si>
    <t>172</t>
  </si>
  <si>
    <t>173</t>
  </si>
  <si>
    <t>174</t>
  </si>
  <si>
    <t>175</t>
  </si>
  <si>
    <t>176</t>
  </si>
  <si>
    <t>177</t>
  </si>
  <si>
    <t>179</t>
  </si>
  <si>
    <t>18. PASIVOS POR FIANZAS, GARANTÍAS Y OTROS CONCEPTOS A LARGO PLAZO</t>
  </si>
  <si>
    <t>18</t>
  </si>
  <si>
    <t>180</t>
  </si>
  <si>
    <t>181. Anticipos recibidos por ventas o prestaciones de servicios a largo plazo</t>
  </si>
  <si>
    <t>181</t>
  </si>
  <si>
    <t>185</t>
  </si>
  <si>
    <t>19</t>
  </si>
  <si>
    <t>190</t>
  </si>
  <si>
    <t>192</t>
  </si>
  <si>
    <t>194</t>
  </si>
  <si>
    <t>195. Acciones o participaciones emitidas consideradas como pasivos financieros</t>
  </si>
  <si>
    <t>195</t>
  </si>
  <si>
    <t>197</t>
  </si>
  <si>
    <t>199. Acciones o participaciones emitidas consideradas como pasivos financieros pendientes de inscripción</t>
  </si>
  <si>
    <t>199</t>
  </si>
  <si>
    <t>20</t>
  </si>
  <si>
    <t>200</t>
  </si>
  <si>
    <t>201</t>
  </si>
  <si>
    <t>202</t>
  </si>
  <si>
    <t>203</t>
  </si>
  <si>
    <t>205</t>
  </si>
  <si>
    <t>206</t>
  </si>
  <si>
    <t>209</t>
  </si>
  <si>
    <t>21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</si>
  <si>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</si>
  <si>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</si>
  <si>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</si>
  <si>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</si>
  <si>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</si>
  <si>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</si>
  <si>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</si>
  <si>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</si>
  <si>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</si>
  <si>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</si>
  <si>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</t>
  </si>
  <si>
    <t>220</t>
  </si>
  <si>
    <t>221</t>
  </si>
  <si>
    <t>23</t>
  </si>
  <si>
    <t>230</t>
  </si>
  <si>
    <t>231</t>
  </si>
  <si>
    <t>232</t>
  </si>
  <si>
    <t>233</t>
  </si>
  <si>
    <t>237</t>
  </si>
  <si>
    <t>239</t>
  </si>
  <si>
    <t>24</t>
  </si>
  <si>
    <t>240</t>
  </si>
  <si>
    <t>2403</t>
  </si>
  <si>
    <t>2404</t>
  </si>
  <si>
    <t>2405</t>
  </si>
  <si>
    <t>241. Valores representativos de deuda a largo plazo de partes vinculadas</t>
  </si>
  <si>
    <t>241</t>
  </si>
  <si>
    <t>2413. Valores representativos de deuda a largo plazo de empresas del grupo</t>
  </si>
  <si>
    <t>2413</t>
  </si>
  <si>
    <t>2414. Valores representativos de deuda a largo plazo de empresas asociadas</t>
  </si>
  <si>
    <t>2414</t>
  </si>
  <si>
    <t>2415. Valores representativos de deuda a largo plazo de otras partes vinculadas</t>
  </si>
  <si>
    <t>2415</t>
  </si>
  <si>
    <t>242</t>
  </si>
  <si>
    <t>2423</t>
  </si>
  <si>
    <t>2424</t>
  </si>
  <si>
    <t>2425</t>
  </si>
  <si>
    <t>249. Desembolsos pendientes sobre participaciones a largo plazo en partes vinculadas</t>
  </si>
  <si>
    <t>249</t>
  </si>
  <si>
    <t>2493. Desembolsos pendientes sobre participaciones a largo plazo en empresas</t>
  </si>
  <si>
    <t>2493</t>
  </si>
  <si>
    <t>2494. Desembolsos pendientes sobre participaciones a largo plazo en empresas asociadas</t>
  </si>
  <si>
    <t>2494</t>
  </si>
  <si>
    <t>2495. Desembolsos pendientes sobre participaciones a largo plazo en otras partes vinculadas</t>
  </si>
  <si>
    <t>2495</t>
  </si>
  <si>
    <t>25</t>
  </si>
  <si>
    <t>250. Inversiones financieras a largo plazo en instrumentos de patrimonio</t>
  </si>
  <si>
    <t>250</t>
  </si>
  <si>
    <t>251</t>
  </si>
  <si>
    <t>252</t>
  </si>
  <si>
    <t>253</t>
  </si>
  <si>
    <t>254</t>
  </si>
  <si>
    <t>255</t>
  </si>
  <si>
    <t>258</t>
  </si>
  <si>
    <t>259. Desembolsos pendientes sobre participaciones en el patrimonio neto a largo plazo</t>
  </si>
  <si>
    <t>259</t>
  </si>
  <si>
    <t>26</t>
  </si>
  <si>
    <t>260</t>
  </si>
  <si>
    <t>265</t>
  </si>
  <si>
    <t>28</t>
  </si>
  <si>
    <t>280</t>
  </si>
  <si>
    <t>2800</t>
  </si>
  <si>
    <t>2801</t>
  </si>
  <si>
    <t>2802</t>
  </si>
  <si>
    <t>2803</t>
  </si>
  <si>
    <t>2805</t>
  </si>
  <si>
    <t>2806</t>
  </si>
  <si>
    <t>281</t>
  </si>
  <si>
    <t>2811</t>
  </si>
  <si>
    <t>2812</t>
  </si>
  <si>
    <t>2813</t>
  </si>
  <si>
    <t>2814</t>
  </si>
  <si>
    <t>2815</t>
  </si>
  <si>
    <t>2816</t>
  </si>
  <si>
    <t>2817</t>
  </si>
  <si>
    <t>2818</t>
  </si>
  <si>
    <t>2819</t>
  </si>
  <si>
    <t>282</t>
  </si>
  <si>
    <t>29</t>
  </si>
  <si>
    <t>290</t>
  </si>
  <si>
    <t>2900</t>
  </si>
  <si>
    <t>2901</t>
  </si>
  <si>
    <t>2902</t>
  </si>
  <si>
    <t>2903</t>
  </si>
  <si>
    <t>2905</t>
  </si>
  <si>
    <t>2906</t>
  </si>
  <si>
    <t>291</t>
  </si>
  <si>
    <t>2910</t>
  </si>
  <si>
    <t>2911</t>
  </si>
  <si>
    <t>2912</t>
  </si>
  <si>
    <t>2913</t>
  </si>
  <si>
    <t>2914</t>
  </si>
  <si>
    <t>2915</t>
  </si>
  <si>
    <t>2916</t>
  </si>
  <si>
    <t>2917</t>
  </si>
  <si>
    <t>2918</t>
  </si>
  <si>
    <t>2919</t>
  </si>
  <si>
    <t>292</t>
  </si>
  <si>
    <t>2920</t>
  </si>
  <si>
    <t>2921</t>
  </si>
  <si>
    <t>293. D eterioro de valor de participaciones a largo plazo en partes vinculadas</t>
  </si>
  <si>
    <t>293</t>
  </si>
  <si>
    <t>2933. Deterioro de valor de participaciones a largo plazo en empresas del grupo</t>
  </si>
  <si>
    <t>2933</t>
  </si>
  <si>
    <t>2934. Deterioro de valor de participaciones a largo plazo en empresas asociadas</t>
  </si>
  <si>
    <t>2934</t>
  </si>
  <si>
    <t>2935. Deterioro de valor de participaciones a largo plazo en otras partes vinculadas</t>
  </si>
  <si>
    <t>2935</t>
  </si>
  <si>
    <t>294. Deterioro de valor de valores representativos de deuda a largo plazo de partes vinculadas</t>
  </si>
  <si>
    <t>294</t>
  </si>
  <si>
    <t>2943. Deterioro de valor de valores representativos de deuda a largo plazo de empresas del grupo</t>
  </si>
  <si>
    <t>2943</t>
  </si>
  <si>
    <t>2944. Deterioro de valor de valores representativos de deuda a largo plazo de empresas asociadas</t>
  </si>
  <si>
    <t>2944</t>
  </si>
  <si>
    <t>2945. Deterioro de valor de valores representativos de deuda a largo plazo de otras partes vinculadas</t>
  </si>
  <si>
    <t>2945</t>
  </si>
  <si>
    <t>295. Deterioro de valor de créditos a largo plazo a partes vinculadas</t>
  </si>
  <si>
    <t>295</t>
  </si>
  <si>
    <t>2953. Deterioro de valor de créditos a largo plazo a empresas del</t>
  </si>
  <si>
    <t>2953</t>
  </si>
  <si>
    <t>2954. Deterioro de valor de créditos a largo plazo a empresas</t>
  </si>
  <si>
    <t>2954</t>
  </si>
  <si>
    <t>2955. Deterioro de valor de créditos a largo plazo a otras partes</t>
  </si>
  <si>
    <t>2955</t>
  </si>
  <si>
    <t>296. Deterioro de valor de participaciones en el patrimonio neto a largo plazo</t>
  </si>
  <si>
    <t>296</t>
  </si>
  <si>
    <t>297. Deterioro de valor de valores representativos de deuda a largo plazo</t>
  </si>
  <si>
    <t>297</t>
  </si>
  <si>
    <t>298. Deterioro de valor de créditos a largo plazo</t>
  </si>
  <si>
    <t>298</t>
  </si>
  <si>
    <t>30</t>
  </si>
  <si>
    <t>300</t>
  </si>
  <si>
    <t>301</t>
  </si>
  <si>
    <t>31</t>
  </si>
  <si>
    <t>310</t>
  </si>
  <si>
    <t>311</t>
  </si>
  <si>
    <t>32</t>
  </si>
  <si>
    <t>320</t>
  </si>
  <si>
    <t>321</t>
  </si>
  <si>
    <t>322</t>
  </si>
  <si>
    <t>325</t>
  </si>
  <si>
    <t>326</t>
  </si>
  <si>
    <t>327</t>
  </si>
  <si>
    <t>328</t>
  </si>
  <si>
    <t>33</t>
  </si>
  <si>
    <t>330</t>
  </si>
  <si>
    <t>331</t>
  </si>
  <si>
    <t>34</t>
  </si>
  <si>
    <t>340</t>
  </si>
  <si>
    <t>341</t>
  </si>
  <si>
    <t>35</t>
  </si>
  <si>
    <t>350</t>
  </si>
  <si>
    <t>351</t>
  </si>
  <si>
    <t>36</t>
  </si>
  <si>
    <t>360</t>
  </si>
  <si>
    <t>361</t>
  </si>
  <si>
    <t>365</t>
  </si>
  <si>
    <t>366</t>
  </si>
  <si>
    <t>368</t>
  </si>
  <si>
    <t>369</t>
  </si>
  <si>
    <t>39</t>
  </si>
  <si>
    <t>390</t>
  </si>
  <si>
    <t>391</t>
  </si>
  <si>
    <t>392</t>
  </si>
  <si>
    <t>393</t>
  </si>
  <si>
    <t>394</t>
  </si>
  <si>
    <t>395</t>
  </si>
  <si>
    <t>396. Deterioro de valor de los subproductos, residuos y materiales recuperados</t>
  </si>
  <si>
    <t>396</t>
  </si>
  <si>
    <t>40</t>
  </si>
  <si>
    <t>400</t>
  </si>
  <si>
    <t>4000</t>
  </si>
  <si>
    <t>4004</t>
  </si>
  <si>
    <t>4009</t>
  </si>
  <si>
    <t>401</t>
  </si>
  <si>
    <t>403</t>
  </si>
  <si>
    <t>4030</t>
  </si>
  <si>
    <t>4031</t>
  </si>
  <si>
    <t>4034</t>
  </si>
  <si>
    <t>4036. Envases y embalajes a devolver a proveedores, empresas del grupo</t>
  </si>
  <si>
    <t>4036</t>
  </si>
  <si>
    <t>4039. Proveedores, empresas del grupo, facturas pendientes de recibir o de formalizar</t>
  </si>
  <si>
    <t>4039</t>
  </si>
  <si>
    <t>404</t>
  </si>
  <si>
    <t>405</t>
  </si>
  <si>
    <t>406</t>
  </si>
  <si>
    <t>407</t>
  </si>
  <si>
    <t>41</t>
  </si>
  <si>
    <t>410</t>
  </si>
  <si>
    <t>4100</t>
  </si>
  <si>
    <t>4104</t>
  </si>
  <si>
    <t>4109. Acreedores por prestaciones de servicios, facturas pendientes de recibir o de formalizar</t>
  </si>
  <si>
    <t>4109</t>
  </si>
  <si>
    <t>411</t>
  </si>
  <si>
    <t>419</t>
  </si>
  <si>
    <t>43</t>
  </si>
  <si>
    <t>430</t>
  </si>
  <si>
    <t>4300</t>
  </si>
  <si>
    <t>4304</t>
  </si>
  <si>
    <t>4309</t>
  </si>
  <si>
    <t>431</t>
  </si>
  <si>
    <t>4310</t>
  </si>
  <si>
    <t>4311</t>
  </si>
  <si>
    <t>4312</t>
  </si>
  <si>
    <t>4315</t>
  </si>
  <si>
    <t>432</t>
  </si>
  <si>
    <t>433</t>
  </si>
  <si>
    <t>4330</t>
  </si>
  <si>
    <t>4331</t>
  </si>
  <si>
    <t>4332</t>
  </si>
  <si>
    <t>4334</t>
  </si>
  <si>
    <t>4336</t>
  </si>
  <si>
    <t>4337</t>
  </si>
  <si>
    <t>4339</t>
  </si>
  <si>
    <t>434</t>
  </si>
  <si>
    <t>435</t>
  </si>
  <si>
    <t>436</t>
  </si>
  <si>
    <t>437</t>
  </si>
  <si>
    <t>438</t>
  </si>
  <si>
    <t>44</t>
  </si>
  <si>
    <t>440</t>
  </si>
  <si>
    <t>4400</t>
  </si>
  <si>
    <t>4404</t>
  </si>
  <si>
    <t>4409</t>
  </si>
  <si>
    <t>441</t>
  </si>
  <si>
    <t>4410</t>
  </si>
  <si>
    <t>4411</t>
  </si>
  <si>
    <t>4412</t>
  </si>
  <si>
    <t>4415</t>
  </si>
  <si>
    <t>446</t>
  </si>
  <si>
    <t>449</t>
  </si>
  <si>
    <t>46</t>
  </si>
  <si>
    <t>460</t>
  </si>
  <si>
    <t>465</t>
  </si>
  <si>
    <t>47</t>
  </si>
  <si>
    <t>470</t>
  </si>
  <si>
    <t>4700</t>
  </si>
  <si>
    <t>4708. Hacienda Pública, deudora por subvenciones concedidas</t>
  </si>
  <si>
    <t>4708</t>
  </si>
  <si>
    <t>4709</t>
  </si>
  <si>
    <t>471</t>
  </si>
  <si>
    <t>472</t>
  </si>
  <si>
    <t>473</t>
  </si>
  <si>
    <t>474</t>
  </si>
  <si>
    <t>4740</t>
  </si>
  <si>
    <t>4742</t>
  </si>
  <si>
    <t>4745</t>
  </si>
  <si>
    <t>475</t>
  </si>
  <si>
    <t>4750</t>
  </si>
  <si>
    <t>4751. Hacienda Pública, acreedora por retenciones practicadas</t>
  </si>
  <si>
    <t>4751</t>
  </si>
  <si>
    <t>4752</t>
  </si>
  <si>
    <t>4758. Hacienda Pública, acreedora por subvenciones a reintegrar</t>
  </si>
  <si>
    <t>4758</t>
  </si>
  <si>
    <t>476</t>
  </si>
  <si>
    <t>477</t>
  </si>
  <si>
    <t>479</t>
  </si>
  <si>
    <t>48</t>
  </si>
  <si>
    <t>480</t>
  </si>
  <si>
    <t>485</t>
  </si>
  <si>
    <t>49. DETERIORO DE VALOR DE CRÉDITOS COMERCIALES Y PROVISIONES A CORTO PLAZO</t>
  </si>
  <si>
    <t>49</t>
  </si>
  <si>
    <t>490</t>
  </si>
  <si>
    <t>493. Deterioro de valor de créditos por operaciones comerciales con partes vinculadas</t>
  </si>
  <si>
    <t>493</t>
  </si>
  <si>
    <t>4933. Deterioro de valor de créditos por operaciones comerciales con empresas del grupo</t>
  </si>
  <si>
    <t>4933</t>
  </si>
  <si>
    <t>4934. Deterioro de valor de créditos por operaciones comerciales con empresas asociadas</t>
  </si>
  <si>
    <t>4934</t>
  </si>
  <si>
    <t>4935. Deterioro de valor de créditos por operaciones comerciales con otras partes vinculadas</t>
  </si>
  <si>
    <t>4935</t>
  </si>
  <si>
    <t>499</t>
  </si>
  <si>
    <t>4994</t>
  </si>
  <si>
    <t>4999</t>
  </si>
  <si>
    <t>50. EMPRÉSTITOS, DEUDAS CON CARÁCTERÍSTICAS ESPECIALES Y OTRAS EMISIONES ANÁLOGAS A CORTO PLAZO</t>
  </si>
  <si>
    <t>50</t>
  </si>
  <si>
    <t>500</t>
  </si>
  <si>
    <t>502. Acciones o participaciones a corto plazo consideradas como pasivos financieros</t>
  </si>
  <si>
    <t>502</t>
  </si>
  <si>
    <t>505. Deudas representadas en otros valores negociables a corto</t>
  </si>
  <si>
    <t>505</t>
  </si>
  <si>
    <t>506. Intereses a corto plazo de empréstitos y otras emisiones análogas</t>
  </si>
  <si>
    <t>506</t>
  </si>
  <si>
    <t>507. Dividendos de acciones o participaciones consideradas como pasivos financieros</t>
  </si>
  <si>
    <t>507</t>
  </si>
  <si>
    <t>509</t>
  </si>
  <si>
    <t>5090</t>
  </si>
  <si>
    <t>5095</t>
  </si>
  <si>
    <t>51</t>
  </si>
  <si>
    <t>510</t>
  </si>
  <si>
    <t>5103. Deudas a corto plazo con entidades de crédito, empresas del grupo</t>
  </si>
  <si>
    <t>5103</t>
  </si>
  <si>
    <t>5104. Deudas a corto plazo con entidades de crédito, empresas asociadas</t>
  </si>
  <si>
    <t>5104</t>
  </si>
  <si>
    <t>5105</t>
  </si>
  <si>
    <t>511</t>
  </si>
  <si>
    <t>5113. Proveedores de inmovilizado a corto plazo, empresas del grupo</t>
  </si>
  <si>
    <t>5113</t>
  </si>
  <si>
    <t>5114</t>
  </si>
  <si>
    <t>5115</t>
  </si>
  <si>
    <t>512</t>
  </si>
  <si>
    <t>5123. Acreedores por arrendamiento financiero a corto plazo, empresas del grupo</t>
  </si>
  <si>
    <t>5123</t>
  </si>
  <si>
    <t>5124. Acreedores por arrendamiento financiero a corto plazo, empresas asociadas</t>
  </si>
  <si>
    <t>5124</t>
  </si>
  <si>
    <t>5125. Acreedores por arrendamiento financiero a corto plazo, otras partes vinculadas</t>
  </si>
  <si>
    <t>5125</t>
  </si>
  <si>
    <t>513</t>
  </si>
  <si>
    <t>5133</t>
  </si>
  <si>
    <t>5134</t>
  </si>
  <si>
    <t>5135</t>
  </si>
  <si>
    <t>514</t>
  </si>
  <si>
    <t>5143</t>
  </si>
  <si>
    <t>5144</t>
  </si>
  <si>
    <t>5145</t>
  </si>
  <si>
    <t>52. DEUDAS A CORTO PLAZO POR PRÉSTAMOS RECIBIDOS Y OTROS CONCEPTOS</t>
  </si>
  <si>
    <t>52</t>
  </si>
  <si>
    <t>520</t>
  </si>
  <si>
    <t>5200</t>
  </si>
  <si>
    <t>5201</t>
  </si>
  <si>
    <t>5208</t>
  </si>
  <si>
    <t>5209</t>
  </si>
  <si>
    <t>521</t>
  </si>
  <si>
    <t>522. Deudas a corto plazo transformables en subvenciones, donaciones y legados</t>
  </si>
  <si>
    <t>522</t>
  </si>
  <si>
    <t>523</t>
  </si>
  <si>
    <t>524</t>
  </si>
  <si>
    <t>525</t>
  </si>
  <si>
    <t>526</t>
  </si>
  <si>
    <t>527</t>
  </si>
  <si>
    <t>528</t>
  </si>
  <si>
    <t>529</t>
  </si>
  <si>
    <t>5291</t>
  </si>
  <si>
    <t>5292</t>
  </si>
  <si>
    <t>5293. Provisión a corto plazo por desmantelamiento, retiro o rehabilitación del inmovilizado</t>
  </si>
  <si>
    <t>5293</t>
  </si>
  <si>
    <t>5295</t>
  </si>
  <si>
    <t>53</t>
  </si>
  <si>
    <t>530</t>
  </si>
  <si>
    <t>5303</t>
  </si>
  <si>
    <t>5304</t>
  </si>
  <si>
    <t>5305</t>
  </si>
  <si>
    <t>531. Valores representativos de deuda a corto plazo de partes vinculadas</t>
  </si>
  <si>
    <t>531</t>
  </si>
  <si>
    <t>5313. Valores representativos de deuda a corto plazo de empresas del grupo</t>
  </si>
  <si>
    <t>5313</t>
  </si>
  <si>
    <t>5314. Valores representativos de deuda a corto plazo de empresas asociadas</t>
  </si>
  <si>
    <t>5314</t>
  </si>
  <si>
    <t>5315. Valores representativos de deuda a corto plazo de otras partes vinculadas</t>
  </si>
  <si>
    <t>5315</t>
  </si>
  <si>
    <t>532</t>
  </si>
  <si>
    <t>5323</t>
  </si>
  <si>
    <t>5324</t>
  </si>
  <si>
    <t>5325</t>
  </si>
  <si>
    <t>533. Intereses a corto plazo de valores representativos de deuda de partes vinculadas</t>
  </si>
  <si>
    <t>533</t>
  </si>
  <si>
    <t>5333. Intereses a corto plazo de valores representativos de deuda en empresas del grupo</t>
  </si>
  <si>
    <t>5333</t>
  </si>
  <si>
    <t>5334. Intereses a corto plazo de valores representativos de deuda en empresas asociadas</t>
  </si>
  <si>
    <t>5334</t>
  </si>
  <si>
    <t>5335. Intereses a corto plazo de valores representativos de deuda en otras partes vinculadas</t>
  </si>
  <si>
    <t>5335</t>
  </si>
  <si>
    <t>534</t>
  </si>
  <si>
    <t>5343</t>
  </si>
  <si>
    <t>5344</t>
  </si>
  <si>
    <t>5345</t>
  </si>
  <si>
    <t>535</t>
  </si>
  <si>
    <t>5353</t>
  </si>
  <si>
    <t>5354</t>
  </si>
  <si>
    <t>5355</t>
  </si>
  <si>
    <t>539. D esembolsos pendientes sobre participaciones a corto plazo en partes vinculadas</t>
  </si>
  <si>
    <t>539</t>
  </si>
  <si>
    <t>5393</t>
  </si>
  <si>
    <t>5394</t>
  </si>
  <si>
    <t>5395. Desembolsos pendientes sobre participaciones a corto plazo en otras partes vinculadas</t>
  </si>
  <si>
    <t>5395</t>
  </si>
  <si>
    <t>54</t>
  </si>
  <si>
    <t>540. Inversiones financieras a corto plazo en instrumentos de patrimonio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</si>
  <si>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</si>
  <si>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</si>
  <si>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</si>
  <si>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</si>
  <si>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</si>
  <si>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</si>
  <si>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</si>
  <si>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</si>
  <si>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</si>
  <si>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549. Desembolsos pendientes sobre participaciones en el patrimonio neto a corto plazo</t>
  </si>
  <si>
    <t>549</t>
  </si>
  <si>
    <t>55</t>
  </si>
  <si>
    <t>550</t>
  </si>
  <si>
    <t>551</t>
  </si>
  <si>
    <t>552</t>
  </si>
  <si>
    <t>5523</t>
  </si>
  <si>
    <t>5524</t>
  </si>
  <si>
    <t>5525</t>
  </si>
  <si>
    <t>554. Cuenta corriente con uniones temporales de empresas y comunidades de bienes</t>
  </si>
  <si>
    <t>554</t>
  </si>
  <si>
    <t>555</t>
  </si>
  <si>
    <t>556. Desembolsos exigidos sobre participaciones en el patrimonio neto</t>
  </si>
  <si>
    <t>556</t>
  </si>
  <si>
    <t>5563. Desembolsos exigidos sobre participaciones, empresas del grupo</t>
  </si>
  <si>
    <t>5563</t>
  </si>
  <si>
    <t>5564</t>
  </si>
  <si>
    <t>5565</t>
  </si>
  <si>
    <t>5566</t>
  </si>
  <si>
    <t>557</t>
  </si>
  <si>
    <t>558</t>
  </si>
  <si>
    <t>5580. Socios por desembolsos exigidos sobre acciones o participaciones ordinarias</t>
  </si>
  <si>
    <t>5580</t>
  </si>
  <si>
    <t>5585. Socios por desembolsos exigidos sobre acciones o participaciones consideradas como pasivos financieros</t>
  </si>
  <si>
    <t>5585</t>
  </si>
  <si>
    <t>559</t>
  </si>
  <si>
    <t>5590</t>
  </si>
  <si>
    <t>5595</t>
  </si>
  <si>
    <t>56. FIANZAS Y DEPÓSITOS RECIBIDOS Y CONSTITUIDOS A CORTO</t>
  </si>
  <si>
    <t>56</t>
  </si>
  <si>
    <t>560</t>
  </si>
  <si>
    <t>561</t>
  </si>
  <si>
    <t>565</t>
  </si>
  <si>
    <t>566</t>
  </si>
  <si>
    <t>567</t>
  </si>
  <si>
    <t>568</t>
  </si>
  <si>
    <t>57</t>
  </si>
  <si>
    <t>570</t>
  </si>
  <si>
    <t>571</t>
  </si>
  <si>
    <t>572. Bancos e instituciones de crédito c/c vista, euros</t>
  </si>
  <si>
    <t>572</t>
  </si>
  <si>
    <t>573. Bancos e instituciones de crédito c/c vista, moneda extranjera</t>
  </si>
  <si>
    <t>573</t>
  </si>
  <si>
    <t>574</t>
  </si>
  <si>
    <t>575. Bancos e instituciones de crédito, cuentas de ahorro, moneda extranjera</t>
  </si>
  <si>
    <t>575</t>
  </si>
  <si>
    <t>576</t>
  </si>
  <si>
    <t>59. DETERIORO DEL VALOR DE INVERSIONES FINANCIERAS A CORTO PLAZO</t>
  </si>
  <si>
    <t>59</t>
  </si>
  <si>
    <t>593. D eterioro de valor de participaciones a corto plazo en partes vinculadas</t>
  </si>
  <si>
    <t>593</t>
  </si>
  <si>
    <t>5933. Deterioro de valor de participaciones a corto plazo en empresas del grupo</t>
  </si>
  <si>
    <t>5933</t>
  </si>
  <si>
    <t>5934. Deterioro de valor de participaciones a corto plazo en empresas asociadas</t>
  </si>
  <si>
    <t>5934</t>
  </si>
  <si>
    <t>5935. Deterioro de valor de participaciones a corto plazo en otras partes vinculadas</t>
  </si>
  <si>
    <t>5935</t>
  </si>
  <si>
    <t>594</t>
  </si>
  <si>
    <t>5943. Deterioro de valor de valores representativos de deuda a corto plazo de empresas del grupo</t>
  </si>
  <si>
    <t>5943</t>
  </si>
  <si>
    <t>5944. Deterioro de valor de valores representativos de deuda a corto plazo de empresas asociadas</t>
  </si>
  <si>
    <t>5944</t>
  </si>
  <si>
    <t>5945. Deterioro de valor de valores representativos de deuda a corto plazo de otras partes vinculadas</t>
  </si>
  <si>
    <t>5945</t>
  </si>
  <si>
    <t>595</t>
  </si>
  <si>
    <t>5953</t>
  </si>
  <si>
    <t>5954</t>
  </si>
  <si>
    <t>5955. Deterioro de valor de créditos a corto plazo a otras partes vinculadas</t>
  </si>
  <si>
    <t>5955</t>
  </si>
  <si>
    <t>596</t>
  </si>
  <si>
    <t>597. Deterioro de valor de valores representativos de deuda a corto plazo</t>
  </si>
  <si>
    <t>597</t>
  </si>
  <si>
    <t>598</t>
  </si>
  <si>
    <t>60</t>
  </si>
  <si>
    <t>600</t>
  </si>
  <si>
    <t>601</t>
  </si>
  <si>
    <t>602</t>
  </si>
  <si>
    <t>606</t>
  </si>
  <si>
    <t>6060</t>
  </si>
  <si>
    <t>6061. Descuentos sobre compras por pronto pago de materias primas</t>
  </si>
  <si>
    <t>6061</t>
  </si>
  <si>
    <t>6062</t>
  </si>
  <si>
    <t>607</t>
  </si>
  <si>
    <t>608</t>
  </si>
  <si>
    <t>6080</t>
  </si>
  <si>
    <t>6081</t>
  </si>
  <si>
    <t>6082</t>
  </si>
  <si>
    <t>609</t>
  </si>
  <si>
    <t>6090</t>
  </si>
  <si>
    <t>6091</t>
  </si>
  <si>
    <t>6092</t>
  </si>
  <si>
    <t>61</t>
  </si>
  <si>
    <t>610</t>
  </si>
  <si>
    <t>611</t>
  </si>
  <si>
    <t>612</t>
  </si>
  <si>
    <t>62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</si>
  <si>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</si>
  <si>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</si>
  <si>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</si>
  <si>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</si>
  <si>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</si>
  <si>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</si>
  <si>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</si>
  <si>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</si>
  <si>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</si>
  <si>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</si>
  <si>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</t>
  </si>
  <si>
    <t>630</t>
  </si>
  <si>
    <t>6300</t>
  </si>
  <si>
    <t>6301</t>
  </si>
  <si>
    <t>631</t>
  </si>
  <si>
    <t>633</t>
  </si>
  <si>
    <t>634</t>
  </si>
  <si>
    <t>6341</t>
  </si>
  <si>
    <t>6342</t>
  </si>
  <si>
    <t>636</t>
  </si>
  <si>
    <t>638</t>
  </si>
  <si>
    <t>639</t>
  </si>
  <si>
    <t>6391</t>
  </si>
  <si>
    <t>6392</t>
  </si>
  <si>
    <t>64</t>
  </si>
  <si>
    <t>640</t>
  </si>
  <si>
    <t>641</t>
  </si>
  <si>
    <t>642</t>
  </si>
  <si>
    <t>649</t>
  </si>
  <si>
    <t>65</t>
  </si>
  <si>
    <t>650</t>
  </si>
  <si>
    <t>651</t>
  </si>
  <si>
    <t>6510</t>
  </si>
  <si>
    <t>6511</t>
  </si>
  <si>
    <t>659</t>
  </si>
  <si>
    <t>66</t>
  </si>
  <si>
    <t>660</t>
  </si>
  <si>
    <t>661</t>
  </si>
  <si>
    <t>6610</t>
  </si>
  <si>
    <t>6611</t>
  </si>
  <si>
    <t>6612. Intereses de obligaciones y bonos a largo plazo, otras partes vinculadas</t>
  </si>
  <si>
    <t>6612</t>
  </si>
  <si>
    <t>6613</t>
  </si>
  <si>
    <t>6615. Intereses de obligaciones y bonos a corto plazo, empresas del grupo</t>
  </si>
  <si>
    <t>6615</t>
  </si>
  <si>
    <t>6616. Intereses de obligaciones y bonos a corto plazo, empresas asociadas</t>
  </si>
  <si>
    <t>6616</t>
  </si>
  <si>
    <t>6617. Intereses de obligaciones y bonos a corto plazo, otras partes vinculadas</t>
  </si>
  <si>
    <t>6617</t>
  </si>
  <si>
    <t>6618</t>
  </si>
  <si>
    <t>662</t>
  </si>
  <si>
    <t>6620</t>
  </si>
  <si>
    <t>6621</t>
  </si>
  <si>
    <t>6622</t>
  </si>
  <si>
    <t>6623</t>
  </si>
  <si>
    <t>6624</t>
  </si>
  <si>
    <t>663. Pérdidas por valoración de activos y pasivos financieros por su valor razonable</t>
  </si>
  <si>
    <t>663</t>
  </si>
  <si>
    <t>664. Gastos por dividendos de acciones o participaciones consideradas como pasivos financieros</t>
  </si>
  <si>
    <t>664</t>
  </si>
  <si>
    <t>6640</t>
  </si>
  <si>
    <t>6641</t>
  </si>
  <si>
    <t>6642</t>
  </si>
  <si>
    <t>6643</t>
  </si>
  <si>
    <t>665</t>
  </si>
  <si>
    <t>6650. Intereses por descuento de efectos en entidades de crédito del grupo</t>
  </si>
  <si>
    <t>6650</t>
  </si>
  <si>
    <t>6651. Intereses por descuento de efectos en entidades de crédito asociadas</t>
  </si>
  <si>
    <t>6651</t>
  </si>
  <si>
    <t>6652. Intereses por descuento de efectos en otras entidades de crédito vinculadas</t>
  </si>
  <si>
    <t>6652</t>
  </si>
  <si>
    <t>6653. Intereses por descuento de efectos en otras entidades de crédito</t>
  </si>
  <si>
    <t>6653</t>
  </si>
  <si>
    <t>6654. Intereses por operaciones de “factoring” con entidades de crédito del grupo</t>
  </si>
  <si>
    <t>6654</t>
  </si>
  <si>
    <t>6655. Intereses por operaciones de “factoring” con entidades de crédito asociadas</t>
  </si>
  <si>
    <t>6655</t>
  </si>
  <si>
    <t>6656. Intereses por operaciones de “factoring” con otras entidades de crédito vinculadas</t>
  </si>
  <si>
    <t>6656</t>
  </si>
  <si>
    <t>6657. Intereses por operaciones de “factoring” con otras entidades de crédito</t>
  </si>
  <si>
    <t>6657</t>
  </si>
  <si>
    <t>666. Pérdidas en participaciones y valores representativos de deuda</t>
  </si>
  <si>
    <t>666</t>
  </si>
  <si>
    <t>6660. Pérdidas en valores representativos de deuda a largo plazo, empresas del grupo</t>
  </si>
  <si>
    <t>6660</t>
  </si>
  <si>
    <t>6661. Pérdidas en valores representativos de deuda a largo plazo, empresas asociadas</t>
  </si>
  <si>
    <t>6661</t>
  </si>
  <si>
    <t>6662. Pérdidas en valores representativos de deuda a largo plazo, otras partes vinculadas</t>
  </si>
  <si>
    <t>6662</t>
  </si>
  <si>
    <t>6663. Pérdidas en participaciones y valores representativos de deuda a largo plazo, otras empresas</t>
  </si>
  <si>
    <t>6663</t>
  </si>
  <si>
    <t>6665. Pérdidas en participaciones y valores representativos de deuda a corto plazo, empresas del grupo</t>
  </si>
  <si>
    <t>6665</t>
  </si>
  <si>
    <t>6666. Pérdidas en participaciones y valores representativos de deuda a corto plazo, empresas asociadas</t>
  </si>
  <si>
    <t>6666</t>
  </si>
  <si>
    <t>6667. Pérdidas en valores representativos de deuda a corto plazo, otras partes vinculadas</t>
  </si>
  <si>
    <t>6667</t>
  </si>
  <si>
    <t>6668. Pérdidas en valores representativos de deuda a corto plazo, otras empresas</t>
  </si>
  <si>
    <t>6668</t>
  </si>
  <si>
    <t>667</t>
  </si>
  <si>
    <t>6670</t>
  </si>
  <si>
    <t>6671</t>
  </si>
  <si>
    <t>6672</t>
  </si>
  <si>
    <t>6673</t>
  </si>
  <si>
    <t>6675</t>
  </si>
  <si>
    <t>6676</t>
  </si>
  <si>
    <t>6677</t>
  </si>
  <si>
    <t>6678</t>
  </si>
  <si>
    <t>668</t>
  </si>
  <si>
    <t>669</t>
  </si>
  <si>
    <t>67. PÉRDIDAS PROCEDENTES DE ACTIVOS NO CORRIENTES Y GASTOS EXCEPCIONALES</t>
  </si>
  <si>
    <t>67</t>
  </si>
  <si>
    <t>670</t>
  </si>
  <si>
    <t>671</t>
  </si>
  <si>
    <t>672</t>
  </si>
  <si>
    <t>673. Pérdidas procedentes de participaciones a largo plazo en partes vinculadas</t>
  </si>
  <si>
    <t>673</t>
  </si>
  <si>
    <t>6733. Pérdidas procedentes de participaciones a largo plazo, empresas del grupo</t>
  </si>
  <si>
    <t>6733</t>
  </si>
  <si>
    <t>6734. Pérdidas procedentes de participaciones a largo plazo, empresas asociadas</t>
  </si>
  <si>
    <t>6734</t>
  </si>
  <si>
    <t>6735. Pérdidas procedentes de participaciones a largo plazo, otras partes vinculadas</t>
  </si>
  <si>
    <t>6735</t>
  </si>
  <si>
    <t>675. Pérdidas por operaciones con obligaciones propias</t>
  </si>
  <si>
    <t>675</t>
  </si>
  <si>
    <t>678</t>
  </si>
  <si>
    <t>68</t>
  </si>
  <si>
    <t>680</t>
  </si>
  <si>
    <t>681</t>
  </si>
  <si>
    <t>682</t>
  </si>
  <si>
    <t>69</t>
  </si>
  <si>
    <t>690</t>
  </si>
  <si>
    <t>691</t>
  </si>
  <si>
    <t>692</t>
  </si>
  <si>
    <t>693</t>
  </si>
  <si>
    <t>6930. Pérdidas por deterioro de productos terminados y en curso de fabricación</t>
  </si>
  <si>
    <t>6930</t>
  </si>
  <si>
    <t>6931</t>
  </si>
  <si>
    <t>6932</t>
  </si>
  <si>
    <t>6933</t>
  </si>
  <si>
    <t>694</t>
  </si>
  <si>
    <t>695</t>
  </si>
  <si>
    <t>6954</t>
  </si>
  <si>
    <t>6959</t>
  </si>
  <si>
    <t>696. Pérdidas por deterioro de participaciones y valores representativos de deuda a largo plazo</t>
  </si>
  <si>
    <t>696</t>
  </si>
  <si>
    <t>6960. Pérdidas por deterioro de participaciones en instrumentos de patrimonio neto a largo plazo, empresas del grupo</t>
  </si>
  <si>
    <t>6960</t>
  </si>
  <si>
    <t>6961. Pérdidas por deterioro de participaciones en instrumentos de patrimonio neto a largo plazo, empresas asociadas</t>
  </si>
  <si>
    <t>6961</t>
  </si>
  <si>
    <t>6962. Pérdidas por deterioro de participaciones en instrumentos de patrimonio neto a largo plazo, otras partes vinculadas</t>
  </si>
  <si>
    <t>6962</t>
  </si>
  <si>
    <t>6963. Pérdidas por deterioro de participaciones en instrumentos de patrimonio neto a largo plazo, otras empresas</t>
  </si>
  <si>
    <t>6963</t>
  </si>
  <si>
    <t>6965. Pérdidas por deterioro en valores representativos de deuda a largo plazo, empresas del grupo</t>
  </si>
  <si>
    <t>6965</t>
  </si>
  <si>
    <t>6966. Pérdidas por deterioro en valores representativos de deuda a largo plazo, empresas asociadas</t>
  </si>
  <si>
    <t>6966</t>
  </si>
  <si>
    <t>6967. Pérdidas por deterioro en valores representativos de deuda a largo plazo, otras partes vinculadas</t>
  </si>
  <si>
    <t>6967</t>
  </si>
  <si>
    <t>6968. Pérdidas por deterioro en valores representativos de deuda a largo plazo, de otras empresas</t>
  </si>
  <si>
    <t>6968</t>
  </si>
  <si>
    <t>697</t>
  </si>
  <si>
    <t>6970. Pérdidas por deterioro de créditos a largo plazo, empresas del grupo</t>
  </si>
  <si>
    <t>6970</t>
  </si>
  <si>
    <t>6971. Pérdidas por deterioro de créditos a largo plazo, empresas asociadas</t>
  </si>
  <si>
    <t>6971</t>
  </si>
  <si>
    <t>6972. Pérdidas por deterioro de créditos a largo plazo, otras partes vinculadas</t>
  </si>
  <si>
    <t>6972</t>
  </si>
  <si>
    <t>6973</t>
  </si>
  <si>
    <t>698. Pérdidas por deterioro de participaciones y valores representativos de deuda a corto plazo</t>
  </si>
  <si>
    <t>698</t>
  </si>
  <si>
    <t>6980. Pérdidas por deterioro de participaciones en instrumentos de patrimonio neto a corto plazo, empresas del grupo</t>
  </si>
  <si>
    <t>6980</t>
  </si>
  <si>
    <t>6981. Pérdidas por deterioro de participaciones en instrumentos de patrimonio neto a corto plazo, empresas asociadas</t>
  </si>
  <si>
    <t>6981</t>
  </si>
  <si>
    <t>6985. Pérdidas por deterioro en valores representativos de deuda a corto plazo, empresas del grupo</t>
  </si>
  <si>
    <t>6985</t>
  </si>
  <si>
    <t>6986. Pérdidas por deterioro en valores representativos de deuda a corto plazo, empresas asociadas</t>
  </si>
  <si>
    <t>6986</t>
  </si>
  <si>
    <t>6987. Pérdidas por deterioro en valores representativos de deuda a corto plazo, otras partes vinculadas</t>
  </si>
  <si>
    <t>6987</t>
  </si>
  <si>
    <t>6988. Pérdidas por deterioro en valores representativos de deuda a corto plazo, de otras empresas</t>
  </si>
  <si>
    <t>6988</t>
  </si>
  <si>
    <t>699</t>
  </si>
  <si>
    <t>6990. Pérdidas por deterioro de créditos a corto plazo, empresas del grupo</t>
  </si>
  <si>
    <t>6990</t>
  </si>
  <si>
    <t>6991. Pérdidas por deterioro de créditos a corto plazo, empresas asociadas</t>
  </si>
  <si>
    <t>6991</t>
  </si>
  <si>
    <t>6992. Pérdidas por deterioro de créditos a corto plazo, otras partes vinculadas</t>
  </si>
  <si>
    <t>6992</t>
  </si>
  <si>
    <t>6993</t>
  </si>
  <si>
    <t>70. VENTAS DE MERCADERÍAS, DE PRODUCCIÓN PROPIA, DE SERVICIOS, ETC</t>
  </si>
  <si>
    <t>70</t>
  </si>
  <si>
    <t>700</t>
  </si>
  <si>
    <t>701</t>
  </si>
  <si>
    <t>702</t>
  </si>
  <si>
    <t>703</t>
  </si>
  <si>
    <t>704</t>
  </si>
  <si>
    <t>705</t>
  </si>
  <si>
    <t>706</t>
  </si>
  <si>
    <t>7060</t>
  </si>
  <si>
    <t>7061. Descuentos sobre ventas por pronto pago de productos terminados</t>
  </si>
  <si>
    <t>7061</t>
  </si>
  <si>
    <t>7062</t>
  </si>
  <si>
    <t>7063. Descuentos sobre ventas por pronto pago de subproductos y residuos</t>
  </si>
  <si>
    <t>7063</t>
  </si>
  <si>
    <t>708</t>
  </si>
  <si>
    <t>7080</t>
  </si>
  <si>
    <t>7081</t>
  </si>
  <si>
    <t>7082</t>
  </si>
  <si>
    <t>7083</t>
  </si>
  <si>
    <t>7084</t>
  </si>
  <si>
    <t>709</t>
  </si>
  <si>
    <t>7090</t>
  </si>
  <si>
    <t>7091</t>
  </si>
  <si>
    <t>7092</t>
  </si>
  <si>
    <t>7093</t>
  </si>
  <si>
    <t>7094</t>
  </si>
  <si>
    <t>71</t>
  </si>
  <si>
    <t>710</t>
  </si>
  <si>
    <t>711</t>
  </si>
  <si>
    <t>712</t>
  </si>
  <si>
    <t>713. Variación de existencias de subproductos, residuos y materiales recuperados</t>
  </si>
  <si>
    <t>713</t>
  </si>
  <si>
    <t>73</t>
  </si>
  <si>
    <t>730</t>
  </si>
  <si>
    <t>731</t>
  </si>
  <si>
    <t>732</t>
  </si>
  <si>
    <t>733. Trabajos realizados para el inmovilizado material en curso</t>
  </si>
  <si>
    <t>733</t>
  </si>
  <si>
    <t>74</t>
  </si>
  <si>
    <t>740</t>
  </si>
  <si>
    <t>746. Subvenciones, donaciones y legados de capital transferidos al resultado del ejercicio</t>
  </si>
  <si>
    <t>746</t>
  </si>
  <si>
    <t>747. Otras subvenciones, donaciones y legados transferidos al resultado del ejercicio</t>
  </si>
  <si>
    <t>747</t>
  </si>
  <si>
    <t>75</t>
  </si>
  <si>
    <t>751</t>
  </si>
  <si>
    <t>7510</t>
  </si>
  <si>
    <t>7511. Beneficio atribuido (partícipe o asociado no gestor)</t>
  </si>
  <si>
    <t>7511</t>
  </si>
  <si>
    <t>752</t>
  </si>
  <si>
    <t>753</t>
  </si>
  <si>
    <t>754</t>
  </si>
  <si>
    <t>755</t>
  </si>
  <si>
    <t>759</t>
  </si>
  <si>
    <t>76</t>
  </si>
  <si>
    <t>760</t>
  </si>
  <si>
    <t>7600. Ingresos de participaciones en instrumentos de patrimonio, empresas del grupo</t>
  </si>
  <si>
    <t>7600</t>
  </si>
  <si>
    <t>7601. Ingresos de participaciones en instrumentos de patrimonio, empresas asociadas</t>
  </si>
  <si>
    <t>7601</t>
  </si>
  <si>
    <t>7602. Ingresos de participaciones en instrumentos de patrimonio, otras partes vinculadas</t>
  </si>
  <si>
    <t>7602</t>
  </si>
  <si>
    <t>7603. Ingresos de participaciones en instrumentos de patrimonio, otras empresas</t>
  </si>
  <si>
    <t>7603</t>
  </si>
  <si>
    <t>761</t>
  </si>
  <si>
    <t>7610. Ingresos de valores representativos de deuda, empresas del grupo</t>
  </si>
  <si>
    <t>7610</t>
  </si>
  <si>
    <t>7611. Ingresos de valores representativos de deuda, empresas asociadas</t>
  </si>
  <si>
    <t>7611</t>
  </si>
  <si>
    <t>7612. Ingresos de valores representativos de deuda, otras partes vinculadas</t>
  </si>
  <si>
    <t>7612</t>
  </si>
  <si>
    <t>7613</t>
  </si>
  <si>
    <t>762</t>
  </si>
  <si>
    <t>7620</t>
  </si>
  <si>
    <t>76200</t>
  </si>
  <si>
    <t>76201</t>
  </si>
  <si>
    <t>76202</t>
  </si>
  <si>
    <t>76203</t>
  </si>
  <si>
    <t>7621</t>
  </si>
  <si>
    <t>76210</t>
  </si>
  <si>
    <t>76211</t>
  </si>
  <si>
    <t>76212</t>
  </si>
  <si>
    <t>76213</t>
  </si>
  <si>
    <t>763. Beneficios por valoración de activos y pasivos financieros por su valor razonable</t>
  </si>
  <si>
    <t>763</t>
  </si>
  <si>
    <t>766. Beneficios en participaciones y valores representativos de deuda</t>
  </si>
  <si>
    <t>766</t>
  </si>
  <si>
    <t>7660. Beneficios en valores representativos de deuda a largo plazo, empresas del grupo</t>
  </si>
  <si>
    <t>7660</t>
  </si>
  <si>
    <t>7661. Beneficios en valores representativos de deuda a largo plazo, empresas asociadas</t>
  </si>
  <si>
    <t>7661</t>
  </si>
  <si>
    <t>7662. Beneficios en valores representativos de deuda a largo plazo, otras partes vinculadas</t>
  </si>
  <si>
    <t>7662</t>
  </si>
  <si>
    <t>7663. Beneficios en participaciones y valores representativos de deuda a largo plazo, otras empresas</t>
  </si>
  <si>
    <t>7663</t>
  </si>
  <si>
    <t>7665. Beneficios en participaciones y valores representativos de deuda a corto plazo, empresas del grupo</t>
  </si>
  <si>
    <t>7665</t>
  </si>
  <si>
    <t>7666. Beneficios en participaciones y valores representativos de deuda a corto plazo, empresas asociadas</t>
  </si>
  <si>
    <t>7666</t>
  </si>
  <si>
    <t>7667. Beneficios en valores representativos de deuda a corto plazo, otras partes vinculadas</t>
  </si>
  <si>
    <t>7667</t>
  </si>
  <si>
    <t>7668. Beneficios en valores representativos de deuda a corto plazo, otras empresas</t>
  </si>
  <si>
    <t>7668</t>
  </si>
  <si>
    <t>768</t>
  </si>
  <si>
    <t>769</t>
  </si>
  <si>
    <t>77. BENEFICIOS PROCEDENTES DE ACTIVOS NO CORRIENTES E INGRESOS EXCEPCIONALES</t>
  </si>
  <si>
    <t>77</t>
  </si>
  <si>
    <t>770</t>
  </si>
  <si>
    <t>771</t>
  </si>
  <si>
    <t>772</t>
  </si>
  <si>
    <t>773. Beneficios procedentes de participaciones a largo plazo en partes vinculadas</t>
  </si>
  <si>
    <t>773</t>
  </si>
  <si>
    <t>7733. Beneficios procedentes de participaciones a largo plazo, empresas del grupo</t>
  </si>
  <si>
    <t>7733</t>
  </si>
  <si>
    <t>7734. Beneficios procedentes de participaciones a largo plazo, empresas asociadas</t>
  </si>
  <si>
    <t>7734</t>
  </si>
  <si>
    <t>7735. Beneficios procedentes de participaciones a largo plazo, otras partes vinculadas</t>
  </si>
  <si>
    <t>7735</t>
  </si>
  <si>
    <t>775</t>
  </si>
  <si>
    <t>778</t>
  </si>
  <si>
    <t>79. EXCESOS Y APLICACIONES DE PROVISIONES Y DE PÉRDIDAS POR DETERIORO</t>
  </si>
  <si>
    <t>79</t>
  </si>
  <si>
    <t>790</t>
  </si>
  <si>
    <t>791</t>
  </si>
  <si>
    <t>792</t>
  </si>
  <si>
    <t>793</t>
  </si>
  <si>
    <t>7930. Reversión del deterioro de productos terminados y en curso de fabricación</t>
  </si>
  <si>
    <t>7930</t>
  </si>
  <si>
    <t>7931</t>
  </si>
  <si>
    <t>7932</t>
  </si>
  <si>
    <t>7933</t>
  </si>
  <si>
    <t>794</t>
  </si>
  <si>
    <t>795</t>
  </si>
  <si>
    <t>7951</t>
  </si>
  <si>
    <t>7952</t>
  </si>
  <si>
    <t>7954</t>
  </si>
  <si>
    <t>79544</t>
  </si>
  <si>
    <t>79549</t>
  </si>
  <si>
    <t>7955</t>
  </si>
  <si>
    <t>796. Reversión del deterioro de participaciones y valores representativos de deuda a largo plazo</t>
  </si>
  <si>
    <t>796</t>
  </si>
  <si>
    <t>7960. Reversión del deterioro de participaciones en instrumentos de patrimonio neto a largo plazo, empresas del grupo</t>
  </si>
  <si>
    <t>7960</t>
  </si>
  <si>
    <t>7961. Reversión del deterioro de participaciones en instrumentos de patrimonio neto a largo plazo, empresas asociadas</t>
  </si>
  <si>
    <t>7961</t>
  </si>
  <si>
    <t>7962. Reversión del deterioro de participaciones en instrumentos de patrimonio neto a largo plazo, otras partes vinculadas</t>
  </si>
  <si>
    <t>7962</t>
  </si>
  <si>
    <t>7963. Reversión del deterioro de participaciones en instrumentos de patrimonio neto a largo plazo, otras empresas</t>
  </si>
  <si>
    <t>7963</t>
  </si>
  <si>
    <t>7965. Reversión del deterioro de valores representativos de deuda a largo plazo, empresas del grupo</t>
  </si>
  <si>
    <t>7965</t>
  </si>
  <si>
    <t>7966. Reversión del deterioro de valores representativos de deuda a largo plazo, empresas asociadas</t>
  </si>
  <si>
    <t>7966</t>
  </si>
  <si>
    <t>7967. Reversión del deterioro de valores representativos de deuda a largo plazo, otras partes vinculadas</t>
  </si>
  <si>
    <t>7967</t>
  </si>
  <si>
    <t>7968. Reversión del deterioro de valores representativos de deuda a largo plazo, otras empresas</t>
  </si>
  <si>
    <t>7968</t>
  </si>
  <si>
    <t>797</t>
  </si>
  <si>
    <t>7970. Reversión del deterioro de créditos a largo plazo, empresas del grupo</t>
  </si>
  <si>
    <t>7970</t>
  </si>
  <si>
    <t>7971. Reversión del deterioro de créditos a largo plazo, empresas asociadas</t>
  </si>
  <si>
    <t>7971</t>
  </si>
  <si>
    <t>7972. Reversión del deterioro de créditos a largo plazo, otras partes vinculadas</t>
  </si>
  <si>
    <t>7972</t>
  </si>
  <si>
    <t>7973</t>
  </si>
  <si>
    <t>798. Reversión del deterioro de participaciones y valores representativos de deuda a corto plazo</t>
  </si>
  <si>
    <t>798</t>
  </si>
  <si>
    <t>7980. Reversión del deterioro de participaciones en instrumentos de patrimonio neto a corto plazo, empresas del grupo</t>
  </si>
  <si>
    <t>7980</t>
  </si>
  <si>
    <t>7981. Reversión del deterioro de participaciones en instrumentos de patrimonio neto a corto plazo, empresas asociadas</t>
  </si>
  <si>
    <t>7981</t>
  </si>
  <si>
    <t>7985. Reversión del deterioro en valores representativos de deuda a corto plazo, empresas del grupo</t>
  </si>
  <si>
    <t>7985</t>
  </si>
  <si>
    <t>7986. Reversión del deterioro en valores representativos de deuda a corto plazo, empresas asociadas</t>
  </si>
  <si>
    <t>7986</t>
  </si>
  <si>
    <t>7987. Reversión del deterioro en valores representativos de deuda a corto plazo, otras partes vinculadas</t>
  </si>
  <si>
    <t>7987</t>
  </si>
  <si>
    <t>7988. Reversión del deterioro en valores representativos de deuda a corto plazo, otras empresas</t>
  </si>
  <si>
    <t>7988</t>
  </si>
  <si>
    <t>799</t>
  </si>
  <si>
    <t>7990. Reversión del deterioro de créditos a corto plazo, empresas del grupo</t>
  </si>
  <si>
    <t>7990</t>
  </si>
  <si>
    <t>7991. Reversión del deterioro de créditos a corto plazo, empresas asociadas</t>
  </si>
  <si>
    <t>7991</t>
  </si>
  <si>
    <t>7992. Reversión del deterioro de créditos a corto plazo, otras partes vinculadas</t>
  </si>
  <si>
    <t>7992</t>
  </si>
  <si>
    <t>7993. Reversión del deterioro de créditos a corto plazo, otras empresas</t>
  </si>
  <si>
    <t>7993</t>
  </si>
  <si>
    <t xml:space="preserve">1543. Aportaciones no dinerarias pendientes, empresas del grupo </t>
  </si>
  <si>
    <t>1544. Aportaciones no dinerarias pendientes, empresas asociadas</t>
  </si>
  <si>
    <t>1544</t>
  </si>
  <si>
    <t>1625. Acreedores por arrendamiento financiero a largo plazo, otras partes vinculadas</t>
  </si>
  <si>
    <t>5393. Desembolsos pendientes sobre participaciones a corto plazo en empresas del grupo</t>
  </si>
  <si>
    <t>5394. Desembolsos pendientes sobre participaciones a corto plazo en empresas asociadas</t>
  </si>
  <si>
    <t>594. Deterioro de valor de valores representativos de deuda a corto plazo de partes vinculadas</t>
  </si>
  <si>
    <t>1. FINANCIACIÓN BÁSICA</t>
  </si>
  <si>
    <t>1</t>
  </si>
  <si>
    <t>2. ACTIVO NO CORRIENTE</t>
  </si>
  <si>
    <t>2</t>
  </si>
  <si>
    <t>3. ACTIVO CORRIENTE</t>
  </si>
  <si>
    <t>3</t>
  </si>
  <si>
    <t>4. PASIVO</t>
  </si>
  <si>
    <t>4</t>
  </si>
  <si>
    <t>5. CUENTAS FINANCIERAS</t>
  </si>
  <si>
    <t>5</t>
  </si>
  <si>
    <t>6. COMPRAS Y GASTOS</t>
  </si>
  <si>
    <t>6</t>
  </si>
  <si>
    <t>7. VENTAS E INGRESOS</t>
  </si>
  <si>
    <t>7</t>
  </si>
  <si>
    <t>Account Name</t>
  </si>
  <si>
    <t>Parent Account</t>
  </si>
  <si>
    <t>Account Number</t>
  </si>
  <si>
    <t>Parent Account Number</t>
  </si>
  <si>
    <t>Account Type</t>
  </si>
  <si>
    <t>Root Type</t>
  </si>
  <si>
    <t>Account Currency</t>
  </si>
  <si>
    <t>Application Of Funds(Assets)</t>
  </si>
  <si>
    <t>Asset</t>
  </si>
  <si>
    <t>EUR</t>
  </si>
  <si>
    <t>Sources Of Funds(Liabilities)</t>
  </si>
  <si>
    <t>Liability</t>
  </si>
  <si>
    <t>Equity</t>
  </si>
  <si>
    <t>Expenses</t>
  </si>
  <si>
    <t>Expense Account</t>
  </si>
  <si>
    <t>Expense</t>
  </si>
  <si>
    <t>Income</t>
  </si>
  <si>
    <t>Income Account</t>
  </si>
  <si>
    <t>Bank Accounts</t>
  </si>
  <si>
    <t>Bank</t>
  </si>
  <si>
    <t>Cash In Hand</t>
  </si>
  <si>
    <t>Cash</t>
  </si>
  <si>
    <t>Stock Assets</t>
  </si>
  <si>
    <t>Stock</t>
  </si>
  <si>
    <t>Cost Of Goods Sold</t>
  </si>
  <si>
    <t>0</t>
  </si>
  <si>
    <t>Cost of Goods Sold</t>
  </si>
  <si>
    <t>Asset Depreciation</t>
  </si>
  <si>
    <t>Depreciation</t>
  </si>
  <si>
    <t>Fixed Assets</t>
  </si>
  <si>
    <t>Fixed Asset</t>
  </si>
  <si>
    <t>Accounts Payable</t>
  </si>
  <si>
    <t>Payable</t>
  </si>
  <si>
    <t>Accounts Receivable</t>
  </si>
  <si>
    <t>Receivable</t>
  </si>
  <si>
    <t>Stock Expenses</t>
  </si>
  <si>
    <t>Stock Adjustment</t>
  </si>
  <si>
    <t>Sample Bank</t>
  </si>
  <si>
    <t>Stores</t>
  </si>
  <si>
    <t>Capital social</t>
  </si>
  <si>
    <t>Fondo social</t>
  </si>
  <si>
    <t>Capital</t>
  </si>
  <si>
    <t>Socios por desembolsos no exigidos, capital social</t>
  </si>
  <si>
    <t>Socios por desembolsos no exigidos, capital pendiente de inscripción</t>
  </si>
  <si>
    <t>Socios por aportaciones no dinerarias pendientes, capital social</t>
  </si>
  <si>
    <t>Socios por aportaciones no dinerarias pendientes, capital pendiente de inscripción</t>
  </si>
  <si>
    <t>Acciones o participaciones propias en situaciones especiales</t>
  </si>
  <si>
    <t>Acciones o participaciones propias para reducción de capital</t>
  </si>
  <si>
    <t>Prima de emisión o asunción</t>
  </si>
  <si>
    <t>Reserva legal</t>
  </si>
  <si>
    <t>Reservas voluntarias</t>
  </si>
  <si>
    <t>Reservas especiales</t>
  </si>
  <si>
    <t>Reservas para acciones o participaciones de la sociedad dominante</t>
  </si>
  <si>
    <t>Reservas estatutarias</t>
  </si>
  <si>
    <t>Reserva por capital amortizado</t>
  </si>
  <si>
    <t>Reservas por acciones propias aceptadas en garantía</t>
  </si>
  <si>
    <t>Aportaciones de socios o propietarios</t>
  </si>
  <si>
    <t>Diferencias por ajuste del capital a euros</t>
  </si>
  <si>
    <t>Remanente</t>
  </si>
  <si>
    <t>Resultados negativos de ejercicios anteriores</t>
  </si>
  <si>
    <t>Resultado del ejercicio</t>
  </si>
  <si>
    <t>Subvenciones oficiales de capital</t>
  </si>
  <si>
    <t>Donaciones y legados de capital</t>
  </si>
  <si>
    <t>Otras subvenciones, donaciones y legados</t>
  </si>
  <si>
    <t>Provisión para impuestos</t>
  </si>
  <si>
    <t>Provisión para otras responsabilidades</t>
  </si>
  <si>
    <t>Provisión por desmantelamiento, retiro o rehabilitación del inmovilizado</t>
  </si>
  <si>
    <t>Provisión para actuaciones medioambientales</t>
  </si>
  <si>
    <t>Deudas a largo plazo con entidades de crédito, empresas del grupo</t>
  </si>
  <si>
    <t>Deudas a largo plazo con entidades de crédito, empresas asociadas</t>
  </si>
  <si>
    <t>Deudas a largo plazo con otras entidades de crédito vinculadas</t>
  </si>
  <si>
    <t>Proveedores de inmovilizado a largo plazo, empresas del grupo</t>
  </si>
  <si>
    <t>Proveedores de inmovilizado a largo plazo, empresas asociadas</t>
  </si>
  <si>
    <t>Proveedores de inmovilizado a largo plazo, otras partes vinculadas</t>
  </si>
  <si>
    <t>Acreedores por arrendamiento financiero a largo plazo, empresas de grupo</t>
  </si>
  <si>
    <t>Acreedores por arrendamiento financiero a largo plazo, empresas asociadas</t>
  </si>
  <si>
    <t>Acreedores por arrendamiento financiero a largo plazo, otras partes vinculadas</t>
  </si>
  <si>
    <t>Otras deudas a largo plazo, empresas del grupo</t>
  </si>
  <si>
    <t>Otras deudas a largo plazo, empresas asociadas</t>
  </si>
  <si>
    <t>Otras deudas a largo plazo, con otras partes vinculadas</t>
  </si>
  <si>
    <t>Deudas a largo plazo con entidades de crédito</t>
  </si>
  <si>
    <t>Deudas a largo plazo</t>
  </si>
  <si>
    <t>Deudas a largo plazo transformables en subvenciones, donaciones y legados</t>
  </si>
  <si>
    <t xml:space="preserve">Proveedores de inmovilizado a largo plazo </t>
  </si>
  <si>
    <t>Acreedores por arrendamiento financiero a largo plazo</t>
  </si>
  <si>
    <t>Efectos a pagar a largo plazo</t>
  </si>
  <si>
    <t>Pasivos por derivados financieros a largo plazo</t>
  </si>
  <si>
    <t>Obligaciones y bonos</t>
  </si>
  <si>
    <t>Deudas representadas en otros valores negociables</t>
  </si>
  <si>
    <t>Fianzas recibidas a largo plazo</t>
  </si>
  <si>
    <t>Anticipos recibidos por ventas o prestaciones de servicios a largo plazo</t>
  </si>
  <si>
    <t>Depósitos recibidos a largo plazo</t>
  </si>
  <si>
    <t>Acciones o participaciones emitidas</t>
  </si>
  <si>
    <t>Suscriptores de acciones</t>
  </si>
  <si>
    <t>Capital emitido pendiente de inscripción</t>
  </si>
  <si>
    <t>Investigación</t>
  </si>
  <si>
    <t>Desarrollo</t>
  </si>
  <si>
    <t>Concesiones administrativas</t>
  </si>
  <si>
    <t>Propiedad industrial</t>
  </si>
  <si>
    <t>Derechos de traspaso</t>
  </si>
  <si>
    <t>Aplicaciones informáticas</t>
  </si>
  <si>
    <t>Anticipos para inmovilizaciones intangibles</t>
  </si>
  <si>
    <t>Terrenos y bienes naturales</t>
  </si>
  <si>
    <t>Construcciones</t>
  </si>
  <si>
    <t>Instalaciones técnicas</t>
  </si>
  <si>
    <t>Maquinaria</t>
  </si>
  <si>
    <t>Utillaje</t>
  </si>
  <si>
    <t>Otras instalaciones</t>
  </si>
  <si>
    <t>Mobiliario</t>
  </si>
  <si>
    <t>Equipos para procesos de información</t>
  </si>
  <si>
    <t>Elementos de transporte</t>
  </si>
  <si>
    <t>Otro inmovilizado material</t>
  </si>
  <si>
    <t>Inversiones en terrenos y bienes naturales</t>
  </si>
  <si>
    <t>Inversiones en construcciones</t>
  </si>
  <si>
    <t>Adaptación de terrenos y bienes naturales</t>
  </si>
  <si>
    <t>Construcciones en curso</t>
  </si>
  <si>
    <t>Instalaciones técnicas en montaje</t>
  </si>
  <si>
    <t>Maquinaria en montaje</t>
  </si>
  <si>
    <t>Equipos para procesos de información en montaje</t>
  </si>
  <si>
    <t>Anticipos para inmovilizaciones materiales</t>
  </si>
  <si>
    <t>Participaciones a largo plazo en empresas del grupo</t>
  </si>
  <si>
    <t>Participaciones a largo plazo en empresas asociadas</t>
  </si>
  <si>
    <t>Participaciones a largo plazo en otras partes vinculadas</t>
  </si>
  <si>
    <t>Valores representativos de deuda a largo plazo de empresas del grupo</t>
  </si>
  <si>
    <t>Valores representativos de deuda a largo plazo de empresas asociadas</t>
  </si>
  <si>
    <t>Valores representativos de deuda a largo plazo de otras partes vinculadas</t>
  </si>
  <si>
    <t>Créditos a largo plazo a empresas del grupo</t>
  </si>
  <si>
    <t>Créditos a largo plazo a empresas asociadas</t>
  </si>
  <si>
    <t>Créditos a largo plazo a otras partes vinculadas</t>
  </si>
  <si>
    <t>Desembolsos pendientes sobre participaciones a largo plazo en em presas del grupo</t>
  </si>
  <si>
    <t>Desembolsos pendientes sobre participaciones a largo plazo en empresas asociadas</t>
  </si>
  <si>
    <t>Desembolsos pendientes sobre participaciones a largo plazo en otras partes vinculadas</t>
  </si>
  <si>
    <t>Inversiones financieras a largo plazo en instrumentos de patrimonio</t>
  </si>
  <si>
    <t>Valores representativos de deuda a largo plazo</t>
  </si>
  <si>
    <t>Créditos a largo plazo</t>
  </si>
  <si>
    <t>Créditos a largo plazo por enajenación de inmovilizado</t>
  </si>
  <si>
    <t>Créditos a largo plazo al personal</t>
  </si>
  <si>
    <t>Activos por derivados financieros a largo plazo</t>
  </si>
  <si>
    <t>Imposiciones a largo plazo</t>
  </si>
  <si>
    <t>Desembolsos pendientes sobre participaciones en el patrimonio neto a largo plazo</t>
  </si>
  <si>
    <t>Fianzas constituidas a largo plazo</t>
  </si>
  <si>
    <t>Depósitos constituidos a largo plazo</t>
  </si>
  <si>
    <t>Amortización acumulada del inmovilizado intangible</t>
  </si>
  <si>
    <t xml:space="preserve">Amortización acumulada de investigación </t>
  </si>
  <si>
    <t>Amortización acumulada de desarrollo</t>
  </si>
  <si>
    <t>Amortización acumulada de concesiones administrativas</t>
  </si>
  <si>
    <t>Amortización acumulada de propiedad industrial</t>
  </si>
  <si>
    <t>Amortización acumulada de derechos de traspaso</t>
  </si>
  <si>
    <t>Amortización acumulada de aplicaciones informáticas</t>
  </si>
  <si>
    <t>Amortización acumulada del inmovilizado material</t>
  </si>
  <si>
    <t>Amortización acumulada de construcciones</t>
  </si>
  <si>
    <t>Amortización acumulada de instalaciones técnicas</t>
  </si>
  <si>
    <t>Amortización acumulada de maquinaria</t>
  </si>
  <si>
    <t>Amortización acumulada de utillaje</t>
  </si>
  <si>
    <t>Amortización acumulada de otras instalaciones</t>
  </si>
  <si>
    <t>Amortización acumulada de mobiliario</t>
  </si>
  <si>
    <t>Amortización acumulada de equipos para procesos de información</t>
  </si>
  <si>
    <t>Amortización acumulada de elementos de transporte</t>
  </si>
  <si>
    <t>Amortización acumulada de otro inmovilizado material</t>
  </si>
  <si>
    <t>Amortización acumulada de las inversiones inmobiliarias</t>
  </si>
  <si>
    <t>Deterioro de valor del inmovilizado intangible</t>
  </si>
  <si>
    <t>Deterioro de valor de investigación</t>
  </si>
  <si>
    <t>Deterioro del valor de desarrollo</t>
  </si>
  <si>
    <t>Deterioro de valor de concesiones administrativas</t>
  </si>
  <si>
    <t>Deterioro de valor de propiedad industrial</t>
  </si>
  <si>
    <t>Deterioro de valor de derechos de traspaso</t>
  </si>
  <si>
    <t>Deterioro de valor de aplicaciones informáticas</t>
  </si>
  <si>
    <t>Deterioro de valor del inmovilizado material</t>
  </si>
  <si>
    <t>Deterioro de valor de terrenos y bienes naturales</t>
  </si>
  <si>
    <t>Deterioro de valor de construcciones</t>
  </si>
  <si>
    <t>Deterioro de valor de instalaciones técnicas</t>
  </si>
  <si>
    <t>Deterioro de valor de maquinaria</t>
  </si>
  <si>
    <t>Deterioro de valor de utillaje</t>
  </si>
  <si>
    <t>Deterioro de valor de otras instalaciones</t>
  </si>
  <si>
    <t>Deterioro de valor de mobiliario</t>
  </si>
  <si>
    <t>Deterioro de valor de equipos para procesos de información</t>
  </si>
  <si>
    <t>Deterioro de valor de elementos de transporte</t>
  </si>
  <si>
    <t>Deterioro de valor de otro inmovilizado material</t>
  </si>
  <si>
    <t>Deterioro de valor de las inversiones inmobiliarias</t>
  </si>
  <si>
    <t>Deterioro de valor de los terrenos y bienes naturales</t>
  </si>
  <si>
    <t>Deterioro de valor de participaciones a largo plazo en empresas del grupo</t>
  </si>
  <si>
    <t>Deterioro de valor de participaciones a largo plazo en empresas asociadas</t>
  </si>
  <si>
    <t>Deterioro de valor de valores representativos de deuda a largo plazo de empresas del grupo</t>
  </si>
  <si>
    <t>Deterioro de valor de valores representativos de deuda a largo plazo de empresas asociadas</t>
  </si>
  <si>
    <t>Deterioro de valor de valores representativos de deuda a largo plazo de otras partes vinculadas</t>
  </si>
  <si>
    <t>Deterioro de valor de créditos a largo plazo a empresas del grupo</t>
  </si>
  <si>
    <t>Deterioro de valor de créditos a largo plazo a empresas asociadas</t>
  </si>
  <si>
    <t>Deterioro de valor de créditos a largo plazo a otras partes vinculadas</t>
  </si>
  <si>
    <t>Deterioro de valor de valores representativos de deuda a largo plazo</t>
  </si>
  <si>
    <t>Deterioro de valor de créditos a largo plazo</t>
  </si>
  <si>
    <t>Mercaderías A</t>
  </si>
  <si>
    <t>Mercaderías B</t>
  </si>
  <si>
    <t>Materias primas A</t>
  </si>
  <si>
    <t>Materias primas B</t>
  </si>
  <si>
    <t>Elementos y conjuntos incorporables</t>
  </si>
  <si>
    <t>Combustibles</t>
  </si>
  <si>
    <t>Repuestos</t>
  </si>
  <si>
    <t>Materiales diversos</t>
  </si>
  <si>
    <t>Embalajes</t>
  </si>
  <si>
    <t>Envases</t>
  </si>
  <si>
    <t>Material de oficina</t>
  </si>
  <si>
    <t>Productos en curso A</t>
  </si>
  <si>
    <t>Productos en curso B</t>
  </si>
  <si>
    <t>Productos semiterminados A</t>
  </si>
  <si>
    <t>Productos semiterminados B</t>
  </si>
  <si>
    <t>Productos terminados A</t>
  </si>
  <si>
    <t>Productos terminados B</t>
  </si>
  <si>
    <t>Subproductos A</t>
  </si>
  <si>
    <t>Subproductos B</t>
  </si>
  <si>
    <t>Residuos A</t>
  </si>
  <si>
    <t>Residuos B</t>
  </si>
  <si>
    <t>Materiales recuperados A</t>
  </si>
  <si>
    <t>Materiales recuperados B</t>
  </si>
  <si>
    <t>Deterioro de valor de las mercaderías</t>
  </si>
  <si>
    <t>Deterioro de valor de las materias primas</t>
  </si>
  <si>
    <t>Deterioro de valor de otros aprovi sionamientos</t>
  </si>
  <si>
    <t>Deterioro de valor de los productos en curso</t>
  </si>
  <si>
    <t>Deterioro de valor de los productos semiterminados</t>
  </si>
  <si>
    <t>Deterioro de valor de los productos terminados</t>
  </si>
  <si>
    <t>Deterioro de valor de los subproductos, residuos y materiales recuperados</t>
  </si>
  <si>
    <t>Proveedores</t>
  </si>
  <si>
    <t>Proveedores (euros)</t>
  </si>
  <si>
    <t>Proveedores (moneda extranjera)</t>
  </si>
  <si>
    <t>Proveedores, facturas pendientes de recibir o de formalizar</t>
  </si>
  <si>
    <t>Proveedores, efectos comerciales a pagar</t>
  </si>
  <si>
    <t>Proveedores, empresas del grupo</t>
  </si>
  <si>
    <t>Proveedores, empresas del grupo (euros)</t>
  </si>
  <si>
    <t>Efectos comerciales a pagar, empresas del grupo</t>
  </si>
  <si>
    <t>Proveedores, empresas del grupo (moneda extranjera)</t>
  </si>
  <si>
    <t>Envases y embalajes a devolver a proveedores, empresas del grupo</t>
  </si>
  <si>
    <t>Proveedores, empresas del grupo, facturas pendientes de recibir o de formalizar</t>
  </si>
  <si>
    <t>Proveedores, empresas asociadas</t>
  </si>
  <si>
    <t>Proveedores, otras partes vinculadas</t>
  </si>
  <si>
    <t>Envases y embalajes a devolver a proveedores</t>
  </si>
  <si>
    <t>Anticipos a proveedores</t>
  </si>
  <si>
    <t>Acreedores por prestaciones de servicios</t>
  </si>
  <si>
    <t>Acreedores por prestaciones de servicios (euros)</t>
  </si>
  <si>
    <t>Acreedores por prestaciones de servicios, (moneda extranjera)</t>
  </si>
  <si>
    <t>Acreedores por prestaciones de servicios, facturas pendientes de recibir o de formalizar</t>
  </si>
  <si>
    <t>Acreedores, efectos comerciales a pagar</t>
  </si>
  <si>
    <t>Acreedores por operaciones en común</t>
  </si>
  <si>
    <t>Clientes</t>
  </si>
  <si>
    <t>Clientes (euros)</t>
  </si>
  <si>
    <t>Clientes (moneda extranjera)</t>
  </si>
  <si>
    <t>Clientes, facturas pendientes de formalizar</t>
  </si>
  <si>
    <t>Clientes, efectos comerciales a cobrar</t>
  </si>
  <si>
    <t>Efectos comerciales en cartera</t>
  </si>
  <si>
    <t>Efectos comerciales descontados</t>
  </si>
  <si>
    <t>Efectos comerciales en gestión de cobro</t>
  </si>
  <si>
    <t>Efectos comerciales impagados</t>
  </si>
  <si>
    <t>Clientes, operaciones de “factoring”</t>
  </si>
  <si>
    <t>Clientes, empresas del grupo</t>
  </si>
  <si>
    <t>Clientes empresas del grupo (euros)</t>
  </si>
  <si>
    <t>Efectos comerciales a cobrar, empresas del grupo</t>
  </si>
  <si>
    <t>Clientes empresas del grupo, operaciones de “factoring”</t>
  </si>
  <si>
    <t>Clientes empresas del grupo (moneda extranjera)</t>
  </si>
  <si>
    <t>Clientes empresas del grupo de dudoso cobro</t>
  </si>
  <si>
    <t>Envases y embalajes a devolver a clientes, empresas del grupo</t>
  </si>
  <si>
    <t>Clientes empresas del grupo, facturas pendientes de formalizar</t>
  </si>
  <si>
    <t>Clientes, empresas asociadas</t>
  </si>
  <si>
    <t>Clientes, otras partes vinculadas</t>
  </si>
  <si>
    <t>Clientes de dudoso cobro</t>
  </si>
  <si>
    <t>Envases y embalajes a devolver por clientes</t>
  </si>
  <si>
    <t>Anticipos de clientes</t>
  </si>
  <si>
    <t>Deudores</t>
  </si>
  <si>
    <t>Deudores (euros)</t>
  </si>
  <si>
    <t>Deudores (moneda extranjera)</t>
  </si>
  <si>
    <t>Deudores, facturas pendientes de formalizar</t>
  </si>
  <si>
    <t>Deudores, efectos comerciales a cobrar</t>
  </si>
  <si>
    <t>Deudores, efectos comerciales en cartera</t>
  </si>
  <si>
    <t>Deudores, efectos comerciales descontados</t>
  </si>
  <si>
    <t>Deudores, efectos comerciales en gestión de cobro</t>
  </si>
  <si>
    <t>Deudores, efectos comerciales impagados</t>
  </si>
  <si>
    <t>Anticipos de remuneraciones</t>
  </si>
  <si>
    <t>Remuneraciones pendientes de pago</t>
  </si>
  <si>
    <t>Hacienda Pública, deudora por diversos conceptos</t>
  </si>
  <si>
    <t>Hacienda Pública, deudora por IVA</t>
  </si>
  <si>
    <t>Hacienda Pública, deudora por subvenciones concedidas</t>
  </si>
  <si>
    <t>Hacienda Pública, deudora por devolución de impuestos</t>
  </si>
  <si>
    <t xml:space="preserve">Organismos de la Seguridad Social, deudores </t>
  </si>
  <si>
    <t>Hacienda Pública, IVA soportado</t>
  </si>
  <si>
    <t>Activos por impuesto diferido</t>
  </si>
  <si>
    <t>Activos por diferencias temporarias deducibles</t>
  </si>
  <si>
    <t>Derechos por deducciones y bonificaciones pendientes de aplicar</t>
  </si>
  <si>
    <t>Crédito por pérdidas a compensar del ejercicio</t>
  </si>
  <si>
    <t>Hacienda Pública, acreedora por conceptos fiscales</t>
  </si>
  <si>
    <t>Hacienda Pública, acreedora por IVA</t>
  </si>
  <si>
    <t>Hacienda Pública, acreedora por retenciones practicadas</t>
  </si>
  <si>
    <t>Hacienda Pública, acreedora por impuesto sobre sociedades</t>
  </si>
  <si>
    <t>Hacienda Pública, acreedora por subvenciones a reintegrar</t>
  </si>
  <si>
    <t>Organismos de la Seguridad Social, acreedores</t>
  </si>
  <si>
    <t>Hacienda Pública, IVA repercutido</t>
  </si>
  <si>
    <t>Pasivos por diferencias temporarias imponibles</t>
  </si>
  <si>
    <t>Gastos anticipados</t>
  </si>
  <si>
    <t>Ingresos anticipados</t>
  </si>
  <si>
    <t>Deterioro de valor de créditos por operaciones comerciales</t>
  </si>
  <si>
    <t>Deterioro de valor de créditos por operaciones comerciales con partes vinculadas</t>
  </si>
  <si>
    <t>Deterioro de valor de créditos por operaciones comerciales con empresas del grupo</t>
  </si>
  <si>
    <t>Deterioro de valor de créditos por operaciones comerciales con empresas asociadas</t>
  </si>
  <si>
    <t>Deterioro de valor de créditos por operaciones comerciales con otras partes vinculadas</t>
  </si>
  <si>
    <t>Provisiones por operaciones comerciales</t>
  </si>
  <si>
    <t>Provisión por contratos onerosos</t>
  </si>
  <si>
    <t>Provisión para otras operaciones comerciales</t>
  </si>
  <si>
    <t>Obligaciones y bonos a corto plazo</t>
  </si>
  <si>
    <t>Deudas representadas en otros valores negociables a corto plazo</t>
  </si>
  <si>
    <t>Intereses a corto plazo de empréstitos y otras emisiones análogas</t>
  </si>
  <si>
    <t>Valores negociables amortizados</t>
  </si>
  <si>
    <t>Obligaciones y bonos amortizados</t>
  </si>
  <si>
    <t>Otros valores negociables amortizados</t>
  </si>
  <si>
    <t>Deudas a corto plazo con entidades de crédito, empresas del grupo</t>
  </si>
  <si>
    <t>Deudas a corto plazo con entidades de crédito, empresas asociadas</t>
  </si>
  <si>
    <t>Deudas a corto plazo con otras entidades de crédito vinculadas</t>
  </si>
  <si>
    <t>Proveedores de inmovilizado a corto plazo, empresas del grupo</t>
  </si>
  <si>
    <t>Proveedores de inmovilizado a corto plazo, empresas asociadas</t>
  </si>
  <si>
    <t>Proveedores de inmovilizado a corto plazo, otras partes vinculadas</t>
  </si>
  <si>
    <t>Acreedores por arrendamiento financiero a corto plazo, empresas del grupo</t>
  </si>
  <si>
    <t>Acreedores por arrendamiento financiero a corto plazo, empresas asociadas</t>
  </si>
  <si>
    <t>Acreedores por arrendamiento financiero a corto plazo, otras partes vinculadas</t>
  </si>
  <si>
    <t>Otras deudas a corto plazo con empresas del grupo</t>
  </si>
  <si>
    <t>Otras deudas a corto plazo con empresas asociadas</t>
  </si>
  <si>
    <t>Otras deudas a corto plazo con otras partes vinculadas</t>
  </si>
  <si>
    <t>Intereses a corto plazo de deudas, empresas del grupo</t>
  </si>
  <si>
    <t>Intereses a corto plazo de deudas, empresas asociadas</t>
  </si>
  <si>
    <t>Intereses a corto plazo de deudas, otras partes vinculadas</t>
  </si>
  <si>
    <t>Deudas a corto plazo con entidades de crédito</t>
  </si>
  <si>
    <t>Préstamos a corto plazo de entidades de crédito</t>
  </si>
  <si>
    <t>Deudas a corto plazo por crédito dispuesto</t>
  </si>
  <si>
    <t>Deudas por efectos descontados</t>
  </si>
  <si>
    <t>Deudas por operaciones de “factoring”</t>
  </si>
  <si>
    <t>Deudas a corto plazo</t>
  </si>
  <si>
    <t>Deudas a corto plazo transformables en subvenciones, donaciones y legados</t>
  </si>
  <si>
    <t>Proveedores de inmovilizado a corto plazo</t>
  </si>
  <si>
    <t>Acreedores por arrendamiento financiero a corto plazo</t>
  </si>
  <si>
    <t>Efectos a pagar a corto plazo</t>
  </si>
  <si>
    <t>Dividendo activo a pagar</t>
  </si>
  <si>
    <t>Intereses a corto plazo de deudas con entidades de crédito</t>
  </si>
  <si>
    <t>Intereses a corto plazo de deudas</t>
  </si>
  <si>
    <t>Provisiones a corto plazo</t>
  </si>
  <si>
    <t>Provisión a corto plazo para impuestos</t>
  </si>
  <si>
    <t>Provisión a corto plazo para otras responsabilidades</t>
  </si>
  <si>
    <t>Provisión a corto plazo por desmantelamiento, retiro o rehabilitación del inmovilizado</t>
  </si>
  <si>
    <t>Provisión a corto plazo para actuaciones medioambientales</t>
  </si>
  <si>
    <t>Participaciones a corto plazo, en empresas del grupo</t>
  </si>
  <si>
    <t>Participaciones a corto plazo, en empresas asociadas</t>
  </si>
  <si>
    <t>Participaciones a corto plazo, en otras partes vinculadas</t>
  </si>
  <si>
    <t>Valores representativos de deuda a corto plazo de empresas del grupo</t>
  </si>
  <si>
    <t>Valores representativos de deuda a corto plazo de empresas asociadas</t>
  </si>
  <si>
    <t>Valores representativos de deuda a corto plazo de otras partes vinculadas</t>
  </si>
  <si>
    <t>Créditos a corto plazo a empresas del grupo</t>
  </si>
  <si>
    <t>Créditos a corto plazo a empresas asociadas</t>
  </si>
  <si>
    <t>Créditos a corto plazo a otras partes vinculadas</t>
  </si>
  <si>
    <t>Intereses a corto plazo de valores representativos de deuda de empresas del grupo</t>
  </si>
  <si>
    <t>Intereses a corto plazo de valores representativos de deuda de empresas asociadas</t>
  </si>
  <si>
    <t>Intereses a corto plazo de valores representativos de deuda de otras partes vinculadas</t>
  </si>
  <si>
    <t>Intereses a corto plazo de créditos a empresas del grupo</t>
  </si>
  <si>
    <t>Intereses a corto plazo de créditos a empresas asociadas</t>
  </si>
  <si>
    <t>Intereses a corto plazo de créditos a otras partes vinculadas</t>
  </si>
  <si>
    <t>Dividendo a cobrar de empresas de grupo</t>
  </si>
  <si>
    <t>Dividendo a cobrar de empresas asociadas</t>
  </si>
  <si>
    <t>Dividendo a cobrar de otras partes vinculadas</t>
  </si>
  <si>
    <t>Desembolsos pendientes sobre participaciones a corto plazo en empresas del grupo</t>
  </si>
  <si>
    <t>Desembolsos pendientes sobre participaciones a corto plazo en empresas asociadas</t>
  </si>
  <si>
    <t>Desembolsos pendientes sobre participaciones a corto plazo en otras partes vinculadas</t>
  </si>
  <si>
    <t>Inversiones financieras a corto plazo en instrumentos de patrimonio</t>
  </si>
  <si>
    <t>Valores representativos de deuda a corto plazo</t>
  </si>
  <si>
    <t>Créditos a corto plazo</t>
  </si>
  <si>
    <t>Créditos a corto plazo por enajenación de inmovilizado</t>
  </si>
  <si>
    <t>Créditos a corto plazo al personal</t>
  </si>
  <si>
    <t>Dividendo a cobrar</t>
  </si>
  <si>
    <t>Intereses a corto plazo de valores representativos de deudas</t>
  </si>
  <si>
    <t>Intereses a corto plazo de créditos</t>
  </si>
  <si>
    <t>Imposiciones a corto plazo</t>
  </si>
  <si>
    <t>Desembolsos pendientes sobre participaciones en el patrimonio neto a corto plazo</t>
  </si>
  <si>
    <t>Cuenta corriente con socios y administradores</t>
  </si>
  <si>
    <t>Cuenta corriente con empresas del grupo</t>
  </si>
  <si>
    <t>Cuenta corriente con empresas asociadas</t>
  </si>
  <si>
    <t>Cuenta corriente con otras partes vinculadas</t>
  </si>
  <si>
    <t>Partidas pendientes de aplicación</t>
  </si>
  <si>
    <t>Desembolsos exigidos sobre participaciones, empresas del grupo</t>
  </si>
  <si>
    <t>Desembolsos exigidos sobre participaciones, empresas asociadas</t>
  </si>
  <si>
    <t>Desembolsos exigidos sobre participaciones, otras partes vinculadas</t>
  </si>
  <si>
    <t>Desembolsos exigidos sobre participaciones de otras empresas</t>
  </si>
  <si>
    <t>Dividendo activo a cuenta</t>
  </si>
  <si>
    <t>Socios por desembolsos exigidos sobre acciones o participaciones ordinarias</t>
  </si>
  <si>
    <t>Activos por derivados financieros a corto plazo, cartera de negociación</t>
  </si>
  <si>
    <t>Pasivos por derivados financieros a corto plazo, cartera de negociación</t>
  </si>
  <si>
    <t>Fianzas recibidas a corto plazo</t>
  </si>
  <si>
    <t>Depósitos recibidos a corto plazo</t>
  </si>
  <si>
    <t>Fianzas constituidas a corto plazo</t>
  </si>
  <si>
    <t>Depósitos constituidos a corto plazo</t>
  </si>
  <si>
    <t>Intereses pagados por anticipado</t>
  </si>
  <si>
    <t>Intereses cobrados por anticipado</t>
  </si>
  <si>
    <t>Caja, euros</t>
  </si>
  <si>
    <t>Caja, moneda extranjera</t>
  </si>
  <si>
    <t>Bancos e instituciones de crédito c/c vista, euros</t>
  </si>
  <si>
    <t>Bancos e instituciones de crédito c/c vista, moneda extranjera</t>
  </si>
  <si>
    <t>Bancos e instituciones de crédito, cuentas de ahorro, euros</t>
  </si>
  <si>
    <t>Bancos e instituciones de crédito, cuentas de ahorro, moneda extranjera</t>
  </si>
  <si>
    <t>Inversiones a corto plazo de gran liquidez</t>
  </si>
  <si>
    <t>Acreedores comerciales y otras cuentas a pagar</t>
  </si>
  <si>
    <t>Deterioro de valor de participaciones a corto plazo en empresas del grupo</t>
  </si>
  <si>
    <t>Deterioro de valor de participaciones a corto plazo en empresas asociadas</t>
  </si>
  <si>
    <t>Deterioro de valor de valores representativos de deuda a corto plazo de empresas del grupo</t>
  </si>
  <si>
    <t>Deterioro de valor de valores representativos de deuda a corto plazo de empresas asociadas</t>
  </si>
  <si>
    <t>Deterioro de valor de valores representativos de deuda a corto plazo de otras partes vinculadas</t>
  </si>
  <si>
    <t>Deterioro de valor de créditos a corto plazo a empresas del grupo</t>
  </si>
  <si>
    <t>Deterioro de valor de créditos a corto plazo a empresas asociadas</t>
  </si>
  <si>
    <t>Deterioro de valor de créditos a corto plazo a otras partes vinculadas</t>
  </si>
  <si>
    <t>Deterioro de valor de valores representativos de deuda a corto plazo</t>
  </si>
  <si>
    <t>Deterioro de valor de créditos a corto plazo</t>
  </si>
  <si>
    <t>Compras de mercaderías</t>
  </si>
  <si>
    <t>Compras de materias primas</t>
  </si>
  <si>
    <t>Compras de otros aprovisionamientos</t>
  </si>
  <si>
    <t>Descuentos sobre compras por pronto pago</t>
  </si>
  <si>
    <t>Descuentos sobre compras por pronto pago de mercaderías</t>
  </si>
  <si>
    <t>Descuentos sobre compras por pronto pago de materias primas</t>
  </si>
  <si>
    <t>Descuentos sobre compras por pronto pago de otros aprovisionamientos</t>
  </si>
  <si>
    <t>Trabajos realizados por otras empresas</t>
  </si>
  <si>
    <t>Devoluciones de compras y operaciones similares</t>
  </si>
  <si>
    <t>Devoluciones de compras de mercaderías</t>
  </si>
  <si>
    <t>Devoluciones de compras de materias primas</t>
  </si>
  <si>
    <t>Devoluciones de compras de otros aprovisionamientos</t>
  </si>
  <si>
    <t>“Rappels” por compras</t>
  </si>
  <si>
    <t>“Rappels” por compras de mercaderías</t>
  </si>
  <si>
    <t>“Rappels” por compras de materias primas</t>
  </si>
  <si>
    <t>“Rappels” por compras de otros aprovisionamientos</t>
  </si>
  <si>
    <t>Variación de existencias de mercaderías</t>
  </si>
  <si>
    <t>Variación de existencias de materias primas</t>
  </si>
  <si>
    <t>Variación de existencias de otros aprovisionamientos</t>
  </si>
  <si>
    <t>Gastos en investigación y desarrollo del ejercicio</t>
  </si>
  <si>
    <t>Arrendamientos y cánones</t>
  </si>
  <si>
    <t>Reparaciones y conservación</t>
  </si>
  <si>
    <t>Servicios de profesionales independientes</t>
  </si>
  <si>
    <t>Transportes</t>
  </si>
  <si>
    <t>Primas de seguros</t>
  </si>
  <si>
    <t>Servicios bancarios y similares</t>
  </si>
  <si>
    <t>Publicidad, propaganda y relaciones públicas</t>
  </si>
  <si>
    <t>Suministros</t>
  </si>
  <si>
    <t>Otros servicios</t>
  </si>
  <si>
    <t>Impuesto sobre beneficios</t>
  </si>
  <si>
    <t>Impuesto corriente</t>
  </si>
  <si>
    <t>Impuesto diferido</t>
  </si>
  <si>
    <t>Otros tributos</t>
  </si>
  <si>
    <t>Ajustes negativos en la imposición sobre be neficios</t>
  </si>
  <si>
    <t>Ajustes negativos en la imposición indirecta</t>
  </si>
  <si>
    <t>Ajustes negativos en IVA de activo corriente</t>
  </si>
  <si>
    <t>Ajustes negativos en IVA de inversiones</t>
  </si>
  <si>
    <t>Devolución de impuestos</t>
  </si>
  <si>
    <t>Ajustes positivos en la imposición sobre beneficios</t>
  </si>
  <si>
    <t>Ajustes positivos en la imposición indirecta</t>
  </si>
  <si>
    <t>Ajustes positivos en IVA de activo corriente</t>
  </si>
  <si>
    <t>Ajustes positivos en IVA de inversiones</t>
  </si>
  <si>
    <t>Sueldos y salarios</t>
  </si>
  <si>
    <t>Indemnizaciones</t>
  </si>
  <si>
    <t>Seguridad Social a cargo de la empresa</t>
  </si>
  <si>
    <t>Otros gastos sociales</t>
  </si>
  <si>
    <t>Pérdidas de créditos comerciales incobrables</t>
  </si>
  <si>
    <t>Resultados de operaciones en común</t>
  </si>
  <si>
    <t>Beneficio transferido (gestor)</t>
  </si>
  <si>
    <t>Pérdida soportada (partícipe o asociado no gestor)</t>
  </si>
  <si>
    <t>Otras pérdidas en gestión corriente</t>
  </si>
  <si>
    <t>Gastos financieros por actualización de provisiones</t>
  </si>
  <si>
    <t>Intereses de obligaciones y bonos</t>
  </si>
  <si>
    <t>Intereses de obligaciones y bonos a largo plazo, empresas del grupo</t>
  </si>
  <si>
    <t>Intereses de obligaciones y bonos a largo plazo, empresas asociadas</t>
  </si>
  <si>
    <t>Intereses de obligaciones y bonos a largo plazo, otras partes vinculadas</t>
  </si>
  <si>
    <t>Intereses de obligaciones y bonos a largo plazo, otras empresas</t>
  </si>
  <si>
    <t>Intereses de obligaciones y bonos a corto plazo, empresas del grupo</t>
  </si>
  <si>
    <t>Intereses de obligaciones y bonos a corto plazo, empresas asociadas</t>
  </si>
  <si>
    <t>Intereses de obligaciones y bonos a corto plazo, otras partes vinculadas</t>
  </si>
  <si>
    <t>Intereses de obligaciones y bonos a corto plazo, otras empresas</t>
  </si>
  <si>
    <t>Intereses de deudas</t>
  </si>
  <si>
    <t>Intereses de deudas, empresas del grupo</t>
  </si>
  <si>
    <t>Intereses de deudas, empresas asociadas</t>
  </si>
  <si>
    <t>Intereses de deudas, otras partes vinculadas</t>
  </si>
  <si>
    <t>Intereses de deudas con entidades de crédito</t>
  </si>
  <si>
    <t>Intereses de deudas, otras empresas</t>
  </si>
  <si>
    <t>Pérdidas por valoración de instrumentos financieros por su valor razonable</t>
  </si>
  <si>
    <t>Gastos por dividendos de acciones o participaciones consideradas como pasivos financieros</t>
  </si>
  <si>
    <t>Dividendos de pasivos, empresas del grupo</t>
  </si>
  <si>
    <t>Dividendos de pasivos, empresas asociadas</t>
  </si>
  <si>
    <t>Dividendos de pasivos, otras partes vinculadas</t>
  </si>
  <si>
    <t>Dividendos de pasivos, otras empresas</t>
  </si>
  <si>
    <t>Intereses por descuento de efectos y operaciones de “factoring”</t>
  </si>
  <si>
    <t>Intereses por descuento de efectos en entidades de crédito del grupo</t>
  </si>
  <si>
    <t>Intereses por descuento de efectos en entidades de crédito asociadas</t>
  </si>
  <si>
    <t>Intereses por descuento de efectos en otras entidades de crédito vinculadas</t>
  </si>
  <si>
    <t>Intereses por descuento de efectos en otras entidades de crédito</t>
  </si>
  <si>
    <t>Intereses por operaciones de “factoring” con entidades de crédito del grupo</t>
  </si>
  <si>
    <t>Intereses por operaciones de “factoring” con entidades de crédito asociadas</t>
  </si>
  <si>
    <t>Intereses por operaciones de “factoring” con otras entidades de crédito vinculadas</t>
  </si>
  <si>
    <t>Intereses por operaciones de “factoring” con otras entidades de crédito</t>
  </si>
  <si>
    <t>Pérdidas en participaciones y valores representativos de deuda</t>
  </si>
  <si>
    <t>Pérdidas en valores representativos de deuda a largo plazo, empresas del grupo</t>
  </si>
  <si>
    <t>Pérdidas en valores representativos de deuda a largo plazo, empresas asociadas</t>
  </si>
  <si>
    <t>Pérdidas en valores representativos de deuda a largo plazo, otras partes vinculadas</t>
  </si>
  <si>
    <t>Pérdidas en participaciones y valores representativos de deuda a largo plazo, otras empresas</t>
  </si>
  <si>
    <t>Pérdidas en participaciones y valores representativos de deuda a corto plazo, empresas del grupo</t>
  </si>
  <si>
    <t>Pérdidas en participaciones y valores representativos de deuda a corto plazo, empresas asociadas</t>
  </si>
  <si>
    <t>Pérdidas en valores representativos de deuda a corto plazo, otras partes vinculadas</t>
  </si>
  <si>
    <t xml:space="preserve">Pérdidas en valores representativos de deuda a corto plazo, otras empresas </t>
  </si>
  <si>
    <t>Pérdidas de créditos no comerciales</t>
  </si>
  <si>
    <t>Pérdidas de créditos a largo plazo, empresas del grupo</t>
  </si>
  <si>
    <t>Pérdidas de créditos a largo plazo, empresas asociadas</t>
  </si>
  <si>
    <t>Pérdidas de créditos a largo plazo, otras partes vinculadas</t>
  </si>
  <si>
    <t>Pérdidas de créditos a largo plazo, otras empresas</t>
  </si>
  <si>
    <t>Pérdidas de créditos a corto plazo, empresas del grupo</t>
  </si>
  <si>
    <t>Pérdidas de créditos a corto plazo, empresas asociadas</t>
  </si>
  <si>
    <t>Pérdidas de créditos a corto plazo, otras partes vinculadas</t>
  </si>
  <si>
    <t>Pérdidas de créditos a corto plazo, otras empresas</t>
  </si>
  <si>
    <t xml:space="preserve">Diferencias negativas de cambio </t>
  </si>
  <si>
    <t>Otros gastos financieros</t>
  </si>
  <si>
    <t>Pérdidas procedentes del inmovilizado intangible</t>
  </si>
  <si>
    <t>Pérdidas procedentes del inmovilizado material</t>
  </si>
  <si>
    <t>Pérdidas procedentes de las inversiones inmobiliarias</t>
  </si>
  <si>
    <t>Pérdidas procedentes de participaciones a largo plazo en partes vinculadas</t>
  </si>
  <si>
    <t>Pérdidas procedentes de participaciones a largo plazo, empresas del grupo</t>
  </si>
  <si>
    <t>Pérdidas procedentes de participaciones a largo plazo, empresas asociadas</t>
  </si>
  <si>
    <t>Pérdidas procedentes de participaciones a largo plazo, otras partes vinculadas</t>
  </si>
  <si>
    <t>Pérdidas por operaciones con obli gaciones propias</t>
  </si>
  <si>
    <t>Gastos excepcionales</t>
  </si>
  <si>
    <t>Amortización del inmovilizado intangible</t>
  </si>
  <si>
    <t>Amortización del inmovilizado material</t>
  </si>
  <si>
    <t>Amortización de las inversiones inmobiliarias</t>
  </si>
  <si>
    <t>Pérdidas por deterioro del inmovilizado intangible</t>
  </si>
  <si>
    <t>Pérdidas por deterioro del inmovilizado material</t>
  </si>
  <si>
    <t>Pérdidas por deterioro de las inversiones inmobiliarias</t>
  </si>
  <si>
    <t>Pérdidas por deterioro de existencias</t>
  </si>
  <si>
    <t>Pérdidas por deterioro de productos terminados y en curso de fabricación</t>
  </si>
  <si>
    <t>Pérdidas por deterioro de mercaderías</t>
  </si>
  <si>
    <t>Pérdidas por deterioro de materias primas</t>
  </si>
  <si>
    <t>Pérdidas por deterioro de otros aprovisionamientos</t>
  </si>
  <si>
    <t>Pérdidas por deterioro de créditos por operaciones comerciales</t>
  </si>
  <si>
    <t>Dotación a la provisión por operaciones comerciales</t>
  </si>
  <si>
    <t>Dotación a la provisión por contratos onerosos</t>
  </si>
  <si>
    <t>Dotación a la provisión para otras operaciones comerciales</t>
  </si>
  <si>
    <t>Pérdidas por deterioro de participaciones y valores representativos de deuda a largo plazo</t>
  </si>
  <si>
    <t>Pérdidas por deterioro de participaciones en instrumentos de patrimonio neto a largo plazo, empresas del grupo</t>
  </si>
  <si>
    <t>Pérdidas por deterioro de participaciones en instrumentos de patrimonio neto a largo plazo, empresas asociadas</t>
  </si>
  <si>
    <t>Pérdidas por deterioro de participaciones en instrumentos de patrimonio neto a largo plazo, otras partes vinculadas</t>
  </si>
  <si>
    <t>Pérdidas por deterioro de participaciones en instrumentos de patrimonio neto a largo plazo, otras empresas</t>
  </si>
  <si>
    <t>Pérdidas por deterioro en valores representativos de deuda a largo plazo, empresas del grupo</t>
  </si>
  <si>
    <t>Pérdidas por deterioro en valores representativos de deuda a largo plazo, empresas asociadas</t>
  </si>
  <si>
    <t>Pérdidas por deterioro en valores representativos de deuda a largo plazo, otras partes vinculadas</t>
  </si>
  <si>
    <t>Pérdidas por deterioro en valores representativos de deuda a largo plazo, de otras empresas</t>
  </si>
  <si>
    <t>Pérdidas por deterioro de créditos a largo plazo</t>
  </si>
  <si>
    <t>Pérdidas por deterioro de créditos a largo plazo, empresas del grupo</t>
  </si>
  <si>
    <t>Pérdidas por deterioro de créditos a largo plazo, empresas asociadas</t>
  </si>
  <si>
    <t>Pérdidas por deterioro de créditos a largo plazo, otras partes vinculadas</t>
  </si>
  <si>
    <t>Pérdidas por deterioro de créditos a largo plazo, otras empresas</t>
  </si>
  <si>
    <t>Pérdidas por deterioro de participaciones y valores representativos de deuda a corto plazo</t>
  </si>
  <si>
    <t>Pérdidas por deterioro de participaciones en instrumentos de patrimonio neto a corto plazo, empresas del grupo</t>
  </si>
  <si>
    <t>Pérdidas por deterioro de participaciones en instrumentos de patrimonio neto a corto plazo, empresas asociadas</t>
  </si>
  <si>
    <t xml:space="preserve">Pérdidas por deterioro en valores representativos de deuda a corto plazo, empresas del grupo </t>
  </si>
  <si>
    <t>Pérdidas por deterioro en valores representativos de deuda a corto plazo, empresas asociadas</t>
  </si>
  <si>
    <t>Pérdidas por deterioro en valores representativos de deuda a corto plazo, otras partes vinculadas</t>
  </si>
  <si>
    <t>Pérdidas por deterioro en valores representativos de deuda a corto plazo, de otras empresas</t>
  </si>
  <si>
    <t>Pérdidas por deterioro de créditos a corto plazo</t>
  </si>
  <si>
    <t>Pérdidas por deterioro de créditos a corto plazo, empresas del grupo</t>
  </si>
  <si>
    <t>Pérdidas por deterioro de créditos a corto plazo, empresas asociadas</t>
  </si>
  <si>
    <t>Pérdidas por deterioro de créditos a corto plazo, otras partes vinculadas</t>
  </si>
  <si>
    <t>Pérdidas por deterioro de créditos a corto plazo, otras empresas</t>
  </si>
  <si>
    <t>Ventas de mercaderías</t>
  </si>
  <si>
    <t>Ventas de productos terminados</t>
  </si>
  <si>
    <t>Ventas de productos semiterminados</t>
  </si>
  <si>
    <t>Ventas de subproductos y residuos</t>
  </si>
  <si>
    <t>Ventas de envases y embalajes</t>
  </si>
  <si>
    <t>Prestaciones de servicios</t>
  </si>
  <si>
    <t>Descuentos sobre ventas por pronto pago</t>
  </si>
  <si>
    <t>Descuentos sobre ventas por pronto pago de mercaderías</t>
  </si>
  <si>
    <t>Descuentos sobre ventas por pronto pago de productos terminados</t>
  </si>
  <si>
    <t>Descuentos sobre ventas por pronto pago de productos semiterminados</t>
  </si>
  <si>
    <t>Descuentos sobre ventas por pronto pago de subproductos y residuos</t>
  </si>
  <si>
    <t>Devoluciones de ventas y operaciones similares</t>
  </si>
  <si>
    <t>Devoluciones de ventas de mercaderías</t>
  </si>
  <si>
    <t>Devoluciones de ventas de productos terminados</t>
  </si>
  <si>
    <t>Devoluciones de ventas de productos semiterminados</t>
  </si>
  <si>
    <t>Devoluciones de ventas de subproductos y residuos</t>
  </si>
  <si>
    <t>Devoluciones de ventas de envases y embalajes</t>
  </si>
  <si>
    <t>“Rappels” sobre ventas</t>
  </si>
  <si>
    <t>«Rappels» sobre ventas de mercaderías</t>
  </si>
  <si>
    <t>“Rappels” sobre ventas de productos terminados</t>
  </si>
  <si>
    <t>“Rappels” sobre ventas de productos semiterminados</t>
  </si>
  <si>
    <t>“Rappels” sobre ventas de subproductos y residuos</t>
  </si>
  <si>
    <t>“Rappels” sobre ventas de envases y embalajes</t>
  </si>
  <si>
    <t>Variación de existencias de productos en curso</t>
  </si>
  <si>
    <t>Variación de existencias de productos semiterminados</t>
  </si>
  <si>
    <t>Variación de existencias de productos terminados</t>
  </si>
  <si>
    <t>Variación de existencias de subproductos, residuos y materiales recuperados</t>
  </si>
  <si>
    <t>Trabajos realizados para el inmovilizado intangible</t>
  </si>
  <si>
    <t>Trabajos realizados para el inmovilizado material</t>
  </si>
  <si>
    <t>Trabajos realizados en inversiones inmobiliarias</t>
  </si>
  <si>
    <t>Trabajos realizados para el inmovilizado material en curso</t>
  </si>
  <si>
    <t>Subvenciones, donaciones y legados a la explotación</t>
  </si>
  <si>
    <t>Subvenciones, donaciones y legados de capital transferidos al resultado del ejercicio</t>
  </si>
  <si>
    <t>Otras subvenciones, donaciones y legados transferidos al resultado del ejercicio</t>
  </si>
  <si>
    <t>Pérdida transferida (gestor)</t>
  </si>
  <si>
    <t>Beneficio atribuido (partícipe o asociado no gestor)</t>
  </si>
  <si>
    <t>Ingresos por arrendamientos</t>
  </si>
  <si>
    <t>Ingresos de propiedad industrial cedida en explotación</t>
  </si>
  <si>
    <t>Ingresos por comisiones</t>
  </si>
  <si>
    <t>Ingresos por servicios al personal</t>
  </si>
  <si>
    <t>Ingresos por servicios diversos</t>
  </si>
  <si>
    <t>Ingresos de participaciones en instrumentos de patrimonio</t>
  </si>
  <si>
    <t>Ingresos de participaciones en instrumentos de patrimonio, empresas del grupo</t>
  </si>
  <si>
    <t>Ingresos de participaciones en instrumentos de patrimonio, empresas asociadas</t>
  </si>
  <si>
    <t>Ingresos de participaciones en instrumentos de patrimonio, otras partes vinculadas</t>
  </si>
  <si>
    <t>Ingresos de participaciones en instrumentos de patrimonio, otras empresas</t>
  </si>
  <si>
    <t>Ingresos de valores representativos de deuda</t>
  </si>
  <si>
    <t>Ingresos de valores representativos de deuda, empresas del grupo</t>
  </si>
  <si>
    <t>Ingresos de valores representativos de deuda, empresas asociadas</t>
  </si>
  <si>
    <t>Ingresos de valores representativos de deuda, otras partes vinculadas</t>
  </si>
  <si>
    <t>Ingresos de valores representativos de deuda, otras empresas</t>
  </si>
  <si>
    <t>Ingresos de créditos</t>
  </si>
  <si>
    <t xml:space="preserve">Ingresos de créditos a largo plazo </t>
  </si>
  <si>
    <t>Ingresos de créditos a largo plazo, empresas del grupo</t>
  </si>
  <si>
    <t>Ingresos de créditos a largo plazo, empresas asociadas</t>
  </si>
  <si>
    <t>Ingresos de créditos a largo plazo, otras partes vinculadas</t>
  </si>
  <si>
    <t>Ingresos de créditos a largo plazo, otras empresas</t>
  </si>
  <si>
    <t>Ingresos de créditos a corto plazo</t>
  </si>
  <si>
    <t>Ingresos de créditos a corto plazo, empresas del grupo</t>
  </si>
  <si>
    <t>Ingresos de créditos a corto plazo, empresas asociadas</t>
  </si>
  <si>
    <t>Ingresos de créditos a corto plazo, otras partes vinculadas</t>
  </si>
  <si>
    <t>Ingresos de créditos a corto plazo, otras empresas</t>
  </si>
  <si>
    <t>Beneficios por valoración de instrumentos financieros por su valor razonable</t>
  </si>
  <si>
    <t>Beneficios en participaciones y valores representativos de deuda</t>
  </si>
  <si>
    <t>Beneficios en valores representativos de deuda a largo plazo, empresas del grupo</t>
  </si>
  <si>
    <t>Beneficios en valores representativos de deuda a largo plazo, empresas asociadas</t>
  </si>
  <si>
    <t>Beneficios en valores representativos de deuda a largo plazo, otras partes vinculadas</t>
  </si>
  <si>
    <t>Beneficios en participaciones y valores representativos de deuda a largo plazo, otras empresas</t>
  </si>
  <si>
    <t>Beneficios en participaciones y valores representativos de deuda a corto plazo, empresas del grupo</t>
  </si>
  <si>
    <t>Beneficios en participaciones y valores representativos de deuda a corto plazo, empresas asociadas</t>
  </si>
  <si>
    <t>Beneficios en valores representativos de deuda a corto plazo, otras partes vinculadas</t>
  </si>
  <si>
    <t>Beneficios en valores representativos de deuda a corto plazo, otras empresas</t>
  </si>
  <si>
    <t xml:space="preserve">Diferencias positivas de cambio </t>
  </si>
  <si>
    <t>Otros ingresos financieros</t>
  </si>
  <si>
    <t>Beneficios procedentes del inmovilizado intangible</t>
  </si>
  <si>
    <t>Beneficios procedentes del inmovilizado mate rial</t>
  </si>
  <si>
    <t>Beneficios procedentes de las inversiones inmobiliarias</t>
  </si>
  <si>
    <t>Beneficios procedentes de participaciones a largo plazo en partes vinculadas</t>
  </si>
  <si>
    <t>Beneficios procedentes de participaciones a largo plazo, empresas del grupo</t>
  </si>
  <si>
    <t>Beneficios procedentes de participaciones a largo plazo, empresas asociadas</t>
  </si>
  <si>
    <t>Beneficios procedentes de participaciones a largo plazo, otras partes vinculadas</t>
  </si>
  <si>
    <t>Beneficios por operaciones con obligaciones propias</t>
  </si>
  <si>
    <t>Ingresos excepcionales</t>
  </si>
  <si>
    <t>Reversión del deterioro del inmovilizado intangible</t>
  </si>
  <si>
    <t>Reversión del deterioro del inmovilizado material</t>
  </si>
  <si>
    <t>Reversión del deterioro de las inversiones inmobiliarias</t>
  </si>
  <si>
    <t>Reversión del deterioro de existencias</t>
  </si>
  <si>
    <t>Reversión del deterioro de productos terminados y en curso de fabricación</t>
  </si>
  <si>
    <t>Reversión del deterioro de mercaderías</t>
  </si>
  <si>
    <t>Reversión del deterioro de materias primas</t>
  </si>
  <si>
    <t>Reversión del deterioro de otros aprovisionamientos</t>
  </si>
  <si>
    <t>Reversión del deterioro de créditos por operaciones comerciales</t>
  </si>
  <si>
    <t>Exceso de provisiones</t>
  </si>
  <si>
    <t xml:space="preserve">Exceso de provisión para impuestos </t>
  </si>
  <si>
    <t>Exceso de provisión para otras responsabilidades</t>
  </si>
  <si>
    <t>Exceso de provisión por operaciones comerciales</t>
  </si>
  <si>
    <t>Exceso de provisión por contratos onerosos</t>
  </si>
  <si>
    <t>Exceso de provisión para otras operaciones comerciales</t>
  </si>
  <si>
    <t>Exceso de provisión para actuaciones medioambientales</t>
  </si>
  <si>
    <t>Reversión del deterioro de participaciones y valores representativos de deuda a largo plazo</t>
  </si>
  <si>
    <t>Reversión del deterioro de participaciones en instrumentos de patrimonio neto a largo plazo, empresas del grupo</t>
  </si>
  <si>
    <t>Reversión del deterioro de participaciones en instrumentos de patrimonio neto a largo plazo, empresas asociadas</t>
  </si>
  <si>
    <t>Reversión del deterioro de valores representativos de deuda a largo plazo, empresas del grupo</t>
  </si>
  <si>
    <t>Reversión del deterioro de valores representativos de deuda a largo plazo, empresas asociadas</t>
  </si>
  <si>
    <t>Reversión del deterioro de valores representativos de deuda a largo plazo, otras partes vinculadas</t>
  </si>
  <si>
    <t>Reversión del deterioro de valores representativos de deuda a largo plazo, otras empresas</t>
  </si>
  <si>
    <t>Reversión del deterioro de créditos a largo plazo</t>
  </si>
  <si>
    <t>Reversión del deterioro de créditos a largo plazo, empresas del grupo</t>
  </si>
  <si>
    <t>Reversión del deterioro de créditos a largo plazo, empresas asociadas</t>
  </si>
  <si>
    <t>Reversión del deterioro de créditos a largo plazo, otras partes vinculadas</t>
  </si>
  <si>
    <t>Reversión del deterioro de créditos a largo plazo, otras empresas</t>
  </si>
  <si>
    <t>Reversión del deterioro de participaciones y valores representativos de deuda a corto plazo</t>
  </si>
  <si>
    <t>Reversión del deterioro de participaciones en instrumentos de patrimonio neto a corto plazo, empresas del grupo</t>
  </si>
  <si>
    <t>Reversión del deterioro de participaciones en instrumentos de patrimonio neto a corto plazo, empresas asociadas</t>
  </si>
  <si>
    <t>Reversión del deterioro en valores representativos de deuda a corto plazo, empresas del grupo</t>
  </si>
  <si>
    <t>Reversión del deterioro en valores representativos de deuda a corto plazo, empresas asociadas</t>
  </si>
  <si>
    <t>Reversión del deterioro en valores representativos de deuda a corto plazo, otras partes vinculadas</t>
  </si>
  <si>
    <t xml:space="preserve">Reversión del deterioro en valores representativos de deuda a corto plazo, otras empresas </t>
  </si>
  <si>
    <t>Reversión del deterioro de créditos a corto plazo</t>
  </si>
  <si>
    <t>Reversión del deterioro de créditos a corto plazo, empresas del grupo</t>
  </si>
  <si>
    <t>Reversión del deterioro de créditos a corto plazo, empresas asociadas</t>
  </si>
  <si>
    <t>Reversión del deterioro de créditos a corto plazo, otras partes vinculadas</t>
  </si>
  <si>
    <t>Reversión del deterioro de créditos a corto plazo, otras empresas</t>
  </si>
  <si>
    <t>ACTIVOS</t>
  </si>
  <si>
    <t>PASIVOS</t>
  </si>
  <si>
    <t>PATRIMONIO</t>
  </si>
  <si>
    <t>GASTOS</t>
  </si>
  <si>
    <t>INGRESOS</t>
  </si>
  <si>
    <t>cuenta_erpnext</t>
  </si>
  <si>
    <t>root_type_prefix</t>
  </si>
  <si>
    <t>root_type</t>
  </si>
  <si>
    <t>check_parent</t>
  </si>
  <si>
    <t>1.A</t>
  </si>
  <si>
    <t>2.P</t>
  </si>
  <si>
    <t>3.E</t>
  </si>
  <si>
    <t>4.I</t>
  </si>
  <si>
    <t>5.G</t>
  </si>
  <si>
    <t>3.E.1</t>
  </si>
  <si>
    <t>2.P.1</t>
  </si>
  <si>
    <t>1.A.2</t>
  </si>
  <si>
    <t>2.P.400</t>
  </si>
  <si>
    <t>5.G.60</t>
  </si>
  <si>
    <t>5.G.606</t>
  </si>
  <si>
    <t>5.G.608</t>
  </si>
  <si>
    <t>5.G.609</t>
  </si>
  <si>
    <t>5.G.61</t>
  </si>
  <si>
    <t>5.G.62</t>
  </si>
  <si>
    <t>5.G.63</t>
  </si>
  <si>
    <t>5.G.630</t>
  </si>
  <si>
    <t>5.G.634</t>
  </si>
  <si>
    <t>5.G.639</t>
  </si>
  <si>
    <t>5.G.64</t>
  </si>
  <si>
    <t>5.G.65</t>
  </si>
  <si>
    <t>5.G.651</t>
  </si>
  <si>
    <t>5.G.66</t>
  </si>
  <si>
    <t>5.G.661</t>
  </si>
  <si>
    <t>5.G.662</t>
  </si>
  <si>
    <t>5.G.663</t>
  </si>
  <si>
    <t>5.G.664</t>
  </si>
  <si>
    <t>5.G.665</t>
  </si>
  <si>
    <t>5.G.666</t>
  </si>
  <si>
    <t>5.G.667</t>
  </si>
  <si>
    <t>5.G.67</t>
  </si>
  <si>
    <t>5.G.673</t>
  </si>
  <si>
    <t>5.G.68</t>
  </si>
  <si>
    <t>5.G.69</t>
  </si>
  <si>
    <t>5.G.693</t>
  </si>
  <si>
    <t>5.G.695</t>
  </si>
  <si>
    <t>5.G.696</t>
  </si>
  <si>
    <t>5.G.697</t>
  </si>
  <si>
    <t>5.G.698</t>
  </si>
  <si>
    <t>5.G.699</t>
  </si>
  <si>
    <t>4.I.70</t>
  </si>
  <si>
    <t>4.I.706</t>
  </si>
  <si>
    <t>4.I.708</t>
  </si>
  <si>
    <t>4.I.709</t>
  </si>
  <si>
    <t>4.I.71</t>
  </si>
  <si>
    <t>4.I.73</t>
  </si>
  <si>
    <t>4.I.74</t>
  </si>
  <si>
    <t>4.I.75</t>
  </si>
  <si>
    <t>4.I.751</t>
  </si>
  <si>
    <t>4.I.76</t>
  </si>
  <si>
    <t>4.I.760</t>
  </si>
  <si>
    <t>4.I.761</t>
  </si>
  <si>
    <t>4.I.762</t>
  </si>
  <si>
    <t>4.I.7620</t>
  </si>
  <si>
    <t>4.I.7621</t>
  </si>
  <si>
    <t>4.I.763</t>
  </si>
  <si>
    <t>4.I.766</t>
  </si>
  <si>
    <t>4.I.77</t>
  </si>
  <si>
    <t>4.I.773</t>
  </si>
  <si>
    <t>4.I.79</t>
  </si>
  <si>
    <t>4.I.793</t>
  </si>
  <si>
    <t>4.I.795</t>
  </si>
  <si>
    <t>4.I.7954</t>
  </si>
  <si>
    <t>4.I.796</t>
  </si>
  <si>
    <t>4.I.797</t>
  </si>
  <si>
    <t>4.I.798</t>
  </si>
  <si>
    <t>4.I.799</t>
  </si>
  <si>
    <t>2.P.4000</t>
  </si>
  <si>
    <t>2.P.4004</t>
  </si>
  <si>
    <t>2.P.4009</t>
  </si>
  <si>
    <t>5.G.600</t>
  </si>
  <si>
    <t>5.G.601</t>
  </si>
  <si>
    <t>5.G.602</t>
  </si>
  <si>
    <t>5.G.6060</t>
  </si>
  <si>
    <t>5.G.6061</t>
  </si>
  <si>
    <t>5.G.6062</t>
  </si>
  <si>
    <t>5.G.607</t>
  </si>
  <si>
    <t>5.G.6080</t>
  </si>
  <si>
    <t>5.G.6081</t>
  </si>
  <si>
    <t>5.G.6082</t>
  </si>
  <si>
    <t>5.G.6090</t>
  </si>
  <si>
    <t>5.G.6091</t>
  </si>
  <si>
    <t>5.G.6092</t>
  </si>
  <si>
    <t>5.G.610</t>
  </si>
  <si>
    <t>5.G.611</t>
  </si>
  <si>
    <t>5.G.612</t>
  </si>
  <si>
    <t>5.G.620</t>
  </si>
  <si>
    <t>5.G.621</t>
  </si>
  <si>
    <t>5.G.622</t>
  </si>
  <si>
    <t>5.G.623</t>
  </si>
  <si>
    <t>5.G.624</t>
  </si>
  <si>
    <t>5.G.625</t>
  </si>
  <si>
    <t>5.G.626</t>
  </si>
  <si>
    <t>5.G.627</t>
  </si>
  <si>
    <t>5.G.628</t>
  </si>
  <si>
    <t>5.G.629</t>
  </si>
  <si>
    <t>5.G.6300</t>
  </si>
  <si>
    <t>5.G.6301</t>
  </si>
  <si>
    <t>5.G.631</t>
  </si>
  <si>
    <t>5.G.633</t>
  </si>
  <si>
    <t>5.G.6341</t>
  </si>
  <si>
    <t>5.G.6342</t>
  </si>
  <si>
    <t>5.G.636</t>
  </si>
  <si>
    <t>5.G.638</t>
  </si>
  <si>
    <t>5.G.6391</t>
  </si>
  <si>
    <t>5.G.6392</t>
  </si>
  <si>
    <t>5.G.640</t>
  </si>
  <si>
    <t>5.G.641</t>
  </si>
  <si>
    <t>5.G.642</t>
  </si>
  <si>
    <t>5.G.649</t>
  </si>
  <si>
    <t>5.G.650</t>
  </si>
  <si>
    <t>5.G.6510</t>
  </si>
  <si>
    <t>5.G.6511</t>
  </si>
  <si>
    <t>5.G.659</t>
  </si>
  <si>
    <t>5.G.660</t>
  </si>
  <si>
    <t>5.G.6610</t>
  </si>
  <si>
    <t>5.G.6611</t>
  </si>
  <si>
    <t>5.G.6612</t>
  </si>
  <si>
    <t>5.G.6613</t>
  </si>
  <si>
    <t>5.G.6615</t>
  </si>
  <si>
    <t>5.G.6616</t>
  </si>
  <si>
    <t>5.G.6617</t>
  </si>
  <si>
    <t>5.G.6618</t>
  </si>
  <si>
    <t>5.G.6620</t>
  </si>
  <si>
    <t>5.G.6621</t>
  </si>
  <si>
    <t>5.G.6622</t>
  </si>
  <si>
    <t>5.G.6623</t>
  </si>
  <si>
    <t>5.G.6624</t>
  </si>
  <si>
    <t>5.G.6640</t>
  </si>
  <si>
    <t>5.G.6641</t>
  </si>
  <si>
    <t>5.G.6642</t>
  </si>
  <si>
    <t>5.G.6643</t>
  </si>
  <si>
    <t>5.G.6650</t>
  </si>
  <si>
    <t>5.G.6651</t>
  </si>
  <si>
    <t>5.G.6652</t>
  </si>
  <si>
    <t>5.G.6653</t>
  </si>
  <si>
    <t>5.G.6654</t>
  </si>
  <si>
    <t>5.G.6655</t>
  </si>
  <si>
    <t>5.G.6656</t>
  </si>
  <si>
    <t>5.G.6657</t>
  </si>
  <si>
    <t>5.G.6660</t>
  </si>
  <si>
    <t>5.G.6661</t>
  </si>
  <si>
    <t>5.G.6662</t>
  </si>
  <si>
    <t>5.G.6663</t>
  </si>
  <si>
    <t>5.G.6665</t>
  </si>
  <si>
    <t>5.G.6666</t>
  </si>
  <si>
    <t>5.G.6667</t>
  </si>
  <si>
    <t>5.G.6668</t>
  </si>
  <si>
    <t>5.G.6670</t>
  </si>
  <si>
    <t>5.G.6671</t>
  </si>
  <si>
    <t>5.G.6672</t>
  </si>
  <si>
    <t>5.G.6673</t>
  </si>
  <si>
    <t>5.G.6675</t>
  </si>
  <si>
    <t>5.G.6676</t>
  </si>
  <si>
    <t>5.G.6677</t>
  </si>
  <si>
    <t>5.G.6678</t>
  </si>
  <si>
    <t>5.G.668</t>
  </si>
  <si>
    <t>5.G.669</t>
  </si>
  <si>
    <t>5.G.670</t>
  </si>
  <si>
    <t>5.G.671</t>
  </si>
  <si>
    <t>5.G.672</t>
  </si>
  <si>
    <t>5.G.6733</t>
  </si>
  <si>
    <t>5.G.6734</t>
  </si>
  <si>
    <t>5.G.6735</t>
  </si>
  <si>
    <t>5.G.675</t>
  </si>
  <si>
    <t>5.G.678</t>
  </si>
  <si>
    <t>5.G.680</t>
  </si>
  <si>
    <t>5.G.681</t>
  </si>
  <si>
    <t>5.G.682</t>
  </si>
  <si>
    <t>5.G.690</t>
  </si>
  <si>
    <t>5.G.691</t>
  </si>
  <si>
    <t>5.G.692</t>
  </si>
  <si>
    <t>5.G.6930</t>
  </si>
  <si>
    <t>5.G.6931</t>
  </si>
  <si>
    <t>5.G.6932</t>
  </si>
  <si>
    <t>5.G.6933</t>
  </si>
  <si>
    <t>5.G.694</t>
  </si>
  <si>
    <t>5.G.6954</t>
  </si>
  <si>
    <t>5.G.6959</t>
  </si>
  <si>
    <t>5.G.6960</t>
  </si>
  <si>
    <t>5.G.6961</t>
  </si>
  <si>
    <t>5.G.6962</t>
  </si>
  <si>
    <t>5.G.6963</t>
  </si>
  <si>
    <t>5.G.6965</t>
  </si>
  <si>
    <t>5.G.6966</t>
  </si>
  <si>
    <t>5.G.6967</t>
  </si>
  <si>
    <t>5.G.6968</t>
  </si>
  <si>
    <t>5.G.6970</t>
  </si>
  <si>
    <t>5.G.6971</t>
  </si>
  <si>
    <t>5.G.6972</t>
  </si>
  <si>
    <t>5.G.6973</t>
  </si>
  <si>
    <t>5.G.6980</t>
  </si>
  <si>
    <t>5.G.6981</t>
  </si>
  <si>
    <t>5.G.6985</t>
  </si>
  <si>
    <t>5.G.6986</t>
  </si>
  <si>
    <t>5.G.6987</t>
  </si>
  <si>
    <t>5.G.6988</t>
  </si>
  <si>
    <t>5.G.6990</t>
  </si>
  <si>
    <t>5.G.6991</t>
  </si>
  <si>
    <t>5.G.6992</t>
  </si>
  <si>
    <t>5.G.6993</t>
  </si>
  <si>
    <t>4.I.700</t>
  </si>
  <si>
    <t>4.I.701</t>
  </si>
  <si>
    <t>4.I.702</t>
  </si>
  <si>
    <t>4.I.703</t>
  </si>
  <si>
    <t>4.I.704</t>
  </si>
  <si>
    <t>4.I.705</t>
  </si>
  <si>
    <t>4.I.7060</t>
  </si>
  <si>
    <t>4.I.7061</t>
  </si>
  <si>
    <t>4.I.7062</t>
  </si>
  <si>
    <t>4.I.7063</t>
  </si>
  <si>
    <t>4.I.7080</t>
  </si>
  <si>
    <t>4.I.7081</t>
  </si>
  <si>
    <t>4.I.7082</t>
  </si>
  <si>
    <t>4.I.7083</t>
  </si>
  <si>
    <t>4.I.7084</t>
  </si>
  <si>
    <t>4.I.7090</t>
  </si>
  <si>
    <t>4.I.7091</t>
  </si>
  <si>
    <t>4.I.7092</t>
  </si>
  <si>
    <t>4.I.7093</t>
  </si>
  <si>
    <t>4.I.7094</t>
  </si>
  <si>
    <t>4.I.710</t>
  </si>
  <si>
    <t>4.I.711</t>
  </si>
  <si>
    <t>4.I.712</t>
  </si>
  <si>
    <t>4.I.713</t>
  </si>
  <si>
    <t>4.I.730</t>
  </si>
  <si>
    <t>4.I.731</t>
  </si>
  <si>
    <t>4.I.732</t>
  </si>
  <si>
    <t>4.I.733</t>
  </si>
  <si>
    <t>4.I.740</t>
  </si>
  <si>
    <t>4.I.746</t>
  </si>
  <si>
    <t>4.I.747</t>
  </si>
  <si>
    <t>4.I.7510</t>
  </si>
  <si>
    <t>4.I.7511</t>
  </si>
  <si>
    <t>4.I.752</t>
  </si>
  <si>
    <t>4.I.753</t>
  </si>
  <si>
    <t>4.I.754</t>
  </si>
  <si>
    <t>4.I.755</t>
  </si>
  <si>
    <t>4.I.759</t>
  </si>
  <si>
    <t>4.I.7600</t>
  </si>
  <si>
    <t>4.I.7601</t>
  </si>
  <si>
    <t>4.I.7602</t>
  </si>
  <si>
    <t>4.I.7603</t>
  </si>
  <si>
    <t>4.I.7610</t>
  </si>
  <si>
    <t>4.I.7611</t>
  </si>
  <si>
    <t>4.I.7612</t>
  </si>
  <si>
    <t>4.I.7613</t>
  </si>
  <si>
    <t>4.I.76200</t>
  </si>
  <si>
    <t>4.I.76201</t>
  </si>
  <si>
    <t>4.I.76202</t>
  </si>
  <si>
    <t>4.I.76203</t>
  </si>
  <si>
    <t>4.I.76210</t>
  </si>
  <si>
    <t>4.I.76211</t>
  </si>
  <si>
    <t>4.I.76212</t>
  </si>
  <si>
    <t>4.I.76213</t>
  </si>
  <si>
    <t>4.I.7660</t>
  </si>
  <si>
    <t>4.I.7661</t>
  </si>
  <si>
    <t>4.I.7662</t>
  </si>
  <si>
    <t>4.I.7663</t>
  </si>
  <si>
    <t>4.I.7665</t>
  </si>
  <si>
    <t>4.I.7666</t>
  </si>
  <si>
    <t>4.I.7667</t>
  </si>
  <si>
    <t>4.I.7668</t>
  </si>
  <si>
    <t>4.I.768</t>
  </si>
  <si>
    <t>4.I.769</t>
  </si>
  <si>
    <t>4.I.770</t>
  </si>
  <si>
    <t>4.I.771</t>
  </si>
  <si>
    <t>4.I.772</t>
  </si>
  <si>
    <t>4.I.7733</t>
  </si>
  <si>
    <t>4.I.7734</t>
  </si>
  <si>
    <t>4.I.7735</t>
  </si>
  <si>
    <t>4.I.775</t>
  </si>
  <si>
    <t>4.I.778</t>
  </si>
  <si>
    <t>4.I.790</t>
  </si>
  <si>
    <t>4.I.791</t>
  </si>
  <si>
    <t>4.I.792</t>
  </si>
  <si>
    <t>4.I.7930</t>
  </si>
  <si>
    <t>4.I.7931</t>
  </si>
  <si>
    <t>4.I.7932</t>
  </si>
  <si>
    <t>4.I.7933</t>
  </si>
  <si>
    <t>4.I.794</t>
  </si>
  <si>
    <t>4.I.7951</t>
  </si>
  <si>
    <t>4.I.7952</t>
  </si>
  <si>
    <t>4.I.79544</t>
  </si>
  <si>
    <t>4.I.79549</t>
  </si>
  <si>
    <t>4.I.7955</t>
  </si>
  <si>
    <t>4.I.7960</t>
  </si>
  <si>
    <t>4.I.7961</t>
  </si>
  <si>
    <t>4.I.7965</t>
  </si>
  <si>
    <t>4.I.7966</t>
  </si>
  <si>
    <t>4.I.7967</t>
  </si>
  <si>
    <t>4.I.7968</t>
  </si>
  <si>
    <t>4.I.7970</t>
  </si>
  <si>
    <t>4.I.7971</t>
  </si>
  <si>
    <t>4.I.7972</t>
  </si>
  <si>
    <t>4.I.7973</t>
  </si>
  <si>
    <t>4.I.7980</t>
  </si>
  <si>
    <t>4.I.7981</t>
  </si>
  <si>
    <t>4.I.7985</t>
  </si>
  <si>
    <t>4.I.7986</t>
  </si>
  <si>
    <t>4.I.7987</t>
  </si>
  <si>
    <t>4.I.7988</t>
  </si>
  <si>
    <t>4.I.7990</t>
  </si>
  <si>
    <t>4.I.7991</t>
  </si>
  <si>
    <t>4.I.7992</t>
  </si>
  <si>
    <t>4.I.7993</t>
  </si>
  <si>
    <t>Deterioro de valor de participaciones a largo plazo en otras partes vinculadas</t>
  </si>
  <si>
    <t>Deterioro de valor de participaciones en el patrimonio neto a largo plazo</t>
  </si>
  <si>
    <t>1.A.1</t>
  </si>
  <si>
    <t>tipo_cuenta</t>
  </si>
  <si>
    <t>subtipo</t>
  </si>
  <si>
    <t>prefijo</t>
  </si>
  <si>
    <t>activo</t>
  </si>
  <si>
    <t>activo_no_corriente</t>
  </si>
  <si>
    <t>subsubtipo</t>
  </si>
  <si>
    <t>Inmovilizado intangible</t>
  </si>
  <si>
    <t>Inmovilizado material</t>
  </si>
  <si>
    <t>Inversiones inmobiliarias</t>
  </si>
  <si>
    <t>1.A.1.1</t>
  </si>
  <si>
    <t>Inversiones en empresas del grupo y asociadas a largo plazo</t>
  </si>
  <si>
    <t>Inversiones financieras a largo plazo</t>
  </si>
  <si>
    <t>activo_corriente</t>
  </si>
  <si>
    <t>Existencias</t>
  </si>
  <si>
    <t>1.A.2.1</t>
  </si>
  <si>
    <t>Deudores comerciales y otras cuentas a cobrar</t>
  </si>
  <si>
    <t>1.A.2.2</t>
  </si>
  <si>
    <t>Clientes por ventas y prestaciones de servicios</t>
  </si>
  <si>
    <t>1.A.2.2.1</t>
  </si>
  <si>
    <t>Accionistas (socios) por desembolsos exigidos</t>
  </si>
  <si>
    <t>1.A.2.2.2</t>
  </si>
  <si>
    <t>Otros deudores</t>
  </si>
  <si>
    <t>1.A.2.2.3</t>
  </si>
  <si>
    <t>Inversiones en empresas del grupo y asociadas a corto plazo</t>
  </si>
  <si>
    <t>1.A.2.3</t>
  </si>
  <si>
    <t>1.A.2.4</t>
  </si>
  <si>
    <t>Inversiones financieras a corto plazo</t>
  </si>
  <si>
    <t>1.A.2.5</t>
  </si>
  <si>
    <t>Periodificaciones a corto plazo</t>
  </si>
  <si>
    <t>Efectivo y otros activos líquidos equivalentes</t>
  </si>
  <si>
    <t>1.A.2.6</t>
  </si>
  <si>
    <t>patrimonio</t>
  </si>
  <si>
    <t>Fondos propios</t>
  </si>
  <si>
    <t>Capital escriturado</t>
  </si>
  <si>
    <t>Capital no exigido</t>
  </si>
  <si>
    <t>3.E.2</t>
  </si>
  <si>
    <t>3.E.1.1</t>
  </si>
  <si>
    <t>3.E.1.2</t>
  </si>
  <si>
    <t>Prima de emisión</t>
  </si>
  <si>
    <t>Reservas</t>
  </si>
  <si>
    <t>Acciones y participaciones en patrimonio propias</t>
  </si>
  <si>
    <t>Resultado de ejercicios anteriores</t>
  </si>
  <si>
    <t>Otras aportaciones de socios</t>
  </si>
  <si>
    <t>Dividendo a cuenta</t>
  </si>
  <si>
    <t>3.E.1.3</t>
  </si>
  <si>
    <t>3.E.1.4</t>
  </si>
  <si>
    <t>3.E.1.5</t>
  </si>
  <si>
    <t>3.E.1.6</t>
  </si>
  <si>
    <t>3.E.1.7</t>
  </si>
  <si>
    <t>3.E.1.8</t>
  </si>
  <si>
    <t>Subvenciones, donaciones y legados recibidos</t>
  </si>
  <si>
    <t>pasivo</t>
  </si>
  <si>
    <t>pasivo_no_corriente</t>
  </si>
  <si>
    <t>Provisiones a largo plazo</t>
  </si>
  <si>
    <t>2.P.1.1</t>
  </si>
  <si>
    <t>Deudas con entidades de crédito</t>
  </si>
  <si>
    <t>2.P.1.2</t>
  </si>
  <si>
    <t>2.P.1.2.1</t>
  </si>
  <si>
    <t>Acreedores por arrendamiento financiero</t>
  </si>
  <si>
    <t>2.P.1.2.2</t>
  </si>
  <si>
    <t>Otras deudas a largo plazo</t>
  </si>
  <si>
    <t>2.P.1.2.3</t>
  </si>
  <si>
    <t>Pasivos por impuesto diferido</t>
  </si>
  <si>
    <t>Periodificaciones a largo plazo</t>
  </si>
  <si>
    <t>pasivo_corriente</t>
  </si>
  <si>
    <t>2.P.2</t>
  </si>
  <si>
    <t>2.P.2.1</t>
  </si>
  <si>
    <t>2.P.2.2</t>
  </si>
  <si>
    <t>2.P.2.2.1</t>
  </si>
  <si>
    <t>2.P.2.2.2</t>
  </si>
  <si>
    <t>Otras deudas a corto plazo</t>
  </si>
  <si>
    <t>2.P.2.2.3</t>
  </si>
  <si>
    <t>Deudas con empresas del grupo y asociadas a corto plazo</t>
  </si>
  <si>
    <t>2.P.2.3</t>
  </si>
  <si>
    <t>2.P.2.4</t>
  </si>
  <si>
    <t>2.P.2.4.1</t>
  </si>
  <si>
    <t>2.P.2.4.2</t>
  </si>
  <si>
    <t>Otros acreedores</t>
  </si>
  <si>
    <t>2.P.2.5</t>
  </si>
  <si>
    <t>idx</t>
  </si>
  <si>
    <t>parent</t>
  </si>
  <si>
    <t>1.A.1.2</t>
  </si>
  <si>
    <t>1.A.1.3</t>
  </si>
  <si>
    <t>1.A.1.4</t>
  </si>
  <si>
    <t>1.A.1.5</t>
  </si>
  <si>
    <t>1.A.1.6</t>
  </si>
  <si>
    <t>Grand Total</t>
  </si>
  <si>
    <t>3.E.1.1.2</t>
  </si>
  <si>
    <t>3.E.1.1.1</t>
  </si>
  <si>
    <t>ACTIVO CORRIENTE</t>
  </si>
  <si>
    <t>FONDOS PROPIOS</t>
  </si>
  <si>
    <t>SUBVENCIONES, DONACIONES Y LEGADOS RECIBIDOS</t>
  </si>
  <si>
    <t>PASIVO NO CORRIENTE</t>
  </si>
  <si>
    <t>PASIVO CORRIENTE</t>
  </si>
  <si>
    <t>prefijo_erpnext</t>
  </si>
  <si>
    <t>Deudas con empresas del grupo y asociadas a largo plazo</t>
  </si>
  <si>
    <t>2.P.1.3</t>
  </si>
  <si>
    <t>2.P.1.4</t>
  </si>
  <si>
    <t>2.P.1.5</t>
  </si>
  <si>
    <t>3.E.1.3.114</t>
  </si>
  <si>
    <t>3.E.1.3.1140</t>
  </si>
  <si>
    <t>3.E.1.3.1141</t>
  </si>
  <si>
    <t>3.E.1.3.1142</t>
  </si>
  <si>
    <t>3.E.1.3.1144</t>
  </si>
  <si>
    <t>2.P.1.1.14</t>
  </si>
  <si>
    <t>2.P.1.1.141</t>
  </si>
  <si>
    <t>2.P.1.1.142</t>
  </si>
  <si>
    <t>2.P.1.1.143</t>
  </si>
  <si>
    <t>2.P.1.1.145</t>
  </si>
  <si>
    <t>1.A.1.1.20</t>
  </si>
  <si>
    <t>1.A.1.1.200</t>
  </si>
  <si>
    <t>1.A.1.1.201</t>
  </si>
  <si>
    <t>1.A.1.1.202</t>
  </si>
  <si>
    <t>1.A.1.1.203</t>
  </si>
  <si>
    <t>1.A.1.1.205</t>
  </si>
  <si>
    <t>1.A.1.1.206</t>
  </si>
  <si>
    <t>1.A.1.1.209</t>
  </si>
  <si>
    <t>1.A.1.2.21</t>
  </si>
  <si>
    <t>1.A.1.2.210</t>
  </si>
  <si>
    <t>1.A.1.2.211</t>
  </si>
  <si>
    <t>1.A.1.2.212</t>
  </si>
  <si>
    <t>1.A.1.2.213</t>
  </si>
  <si>
    <t>1.A.1.2.214</t>
  </si>
  <si>
    <t>1.A.1.2.215</t>
  </si>
  <si>
    <t>1.A.1.2.216</t>
  </si>
  <si>
    <t>1.A.1.2.217</t>
  </si>
  <si>
    <t>1.A.1.2.218</t>
  </si>
  <si>
    <t>1.A.1.2.219</t>
  </si>
  <si>
    <t>1.A.1.3.22</t>
  </si>
  <si>
    <t>1.A.1.3.220</t>
  </si>
  <si>
    <t>1.A.1.3.221</t>
  </si>
  <si>
    <t>1.A.1.2.23</t>
  </si>
  <si>
    <t>1.A.1.2.230</t>
  </si>
  <si>
    <t>1.A.1.2.231</t>
  </si>
  <si>
    <t>1.A.1.2.232</t>
  </si>
  <si>
    <t>1.A.1.2.233</t>
  </si>
  <si>
    <t>1.A.1.2.237</t>
  </si>
  <si>
    <t>1.A.1.2.239</t>
  </si>
  <si>
    <t>1.A.1.5.26</t>
  </si>
  <si>
    <t>1.A.1.5.260</t>
  </si>
  <si>
    <t>1.A.1.5.265</t>
  </si>
  <si>
    <t>1.A.1.1.280</t>
  </si>
  <si>
    <t>1.A.1.1.2800</t>
  </si>
  <si>
    <t>1.A.1.1.2801</t>
  </si>
  <si>
    <t>1.A.1.1.2802</t>
  </si>
  <si>
    <t>1.A.1.1.2803</t>
  </si>
  <si>
    <t>1.A.1.1.2805</t>
  </si>
  <si>
    <t>1.A.1.1.2806</t>
  </si>
  <si>
    <t>1.A.1.2.281</t>
  </si>
  <si>
    <t>1.A.1.2.2811</t>
  </si>
  <si>
    <t>1.A.1.2.2812</t>
  </si>
  <si>
    <t>1.A.1.2.2813</t>
  </si>
  <si>
    <t>1.A.1.2.2814</t>
  </si>
  <si>
    <t>1.A.1.2.2815</t>
  </si>
  <si>
    <t>1.A.1.2.2816</t>
  </si>
  <si>
    <t>1.A.1.2.2817</t>
  </si>
  <si>
    <t>1.A.1.2.2818</t>
  </si>
  <si>
    <t>1.A.1.2.2819</t>
  </si>
  <si>
    <t>1.A.1.1.290</t>
  </si>
  <si>
    <t>1.A.1.1.2900</t>
  </si>
  <si>
    <t>1.A.1.1.2901</t>
  </si>
  <si>
    <t>1.A.1.1.2902</t>
  </si>
  <si>
    <t>1.A.1.1.2903</t>
  </si>
  <si>
    <t>1.A.1.1.2905</t>
  </si>
  <si>
    <t>1.A.1.1.2906</t>
  </si>
  <si>
    <t>1.A.1.2.291</t>
  </si>
  <si>
    <t>1.A.1.2.2910</t>
  </si>
  <si>
    <t>1.A.1.2.2911</t>
  </si>
  <si>
    <t>1.A.1.2.2912</t>
  </si>
  <si>
    <t>1.A.1.2.2913</t>
  </si>
  <si>
    <t>1.A.1.2.2914</t>
  </si>
  <si>
    <t>1.A.1.2.2915</t>
  </si>
  <si>
    <t>1.A.1.2.2916</t>
  </si>
  <si>
    <t>1.A.1.2.2917</t>
  </si>
  <si>
    <t>1.A.1.2.2918</t>
  </si>
  <si>
    <t>1.A.1.2.2919</t>
  </si>
  <si>
    <t>1.A.1.3.292</t>
  </si>
  <si>
    <t>1.A.1.3.2920</t>
  </si>
  <si>
    <t>1.A.1.3.2921</t>
  </si>
  <si>
    <t>1.A.2.1.30</t>
  </si>
  <si>
    <t>1.A.2.1.300</t>
  </si>
  <si>
    <t>1.A.2.1.301</t>
  </si>
  <si>
    <t>1.A.2.1.31</t>
  </si>
  <si>
    <t>1.A.2.1.310</t>
  </si>
  <si>
    <t>1.A.2.1.311</t>
  </si>
  <si>
    <t>1.A.2.1.32</t>
  </si>
  <si>
    <t>1.A.2.1.320</t>
  </si>
  <si>
    <t>1.A.2.1.321</t>
  </si>
  <si>
    <t>1.A.2.1.322</t>
  </si>
  <si>
    <t>1.A.2.1.325</t>
  </si>
  <si>
    <t>1.A.2.1.326</t>
  </si>
  <si>
    <t>1.A.2.1.327</t>
  </si>
  <si>
    <t>1.A.2.1.328</t>
  </si>
  <si>
    <t>1.A.2.1.33</t>
  </si>
  <si>
    <t>1.A.2.1.330</t>
  </si>
  <si>
    <t>1.A.2.1.331</t>
  </si>
  <si>
    <t>1.A.2.1.34</t>
  </si>
  <si>
    <t>1.A.2.1.340</t>
  </si>
  <si>
    <t>1.A.2.1.341</t>
  </si>
  <si>
    <t>1.A.2.1.35</t>
  </si>
  <si>
    <t>1.A.2.1.350</t>
  </si>
  <si>
    <t>1.A.2.1.351</t>
  </si>
  <si>
    <t>1.A.2.1.36</t>
  </si>
  <si>
    <t>1.A.2.1.360</t>
  </si>
  <si>
    <t>1.A.2.1.361</t>
  </si>
  <si>
    <t>1.A.2.1.365</t>
  </si>
  <si>
    <t>1.A.2.1.366</t>
  </si>
  <si>
    <t>1.A.2.1.368</t>
  </si>
  <si>
    <t>1.A.2.1.369</t>
  </si>
  <si>
    <t>1.A.2.1.39</t>
  </si>
  <si>
    <t>1.A.2.1.390</t>
  </si>
  <si>
    <t>1.A.2.1.391</t>
  </si>
  <si>
    <t>1.A.2.1.392</t>
  </si>
  <si>
    <t>1.A.2.1.393</t>
  </si>
  <si>
    <t>1.A.2.1.394</t>
  </si>
  <si>
    <t>1.A.2.1.395</t>
  </si>
  <si>
    <t>1.A.2.1.396</t>
  </si>
  <si>
    <t>2.P.2.4.1.403</t>
  </si>
  <si>
    <t>2.P.2.4.1.4030</t>
  </si>
  <si>
    <t>2.P.2.4.1.4031</t>
  </si>
  <si>
    <t>2.P.2.4.1.4034</t>
  </si>
  <si>
    <t>2.P.2.4.1.4036</t>
  </si>
  <si>
    <t>2.P.2.4.1.4039</t>
  </si>
  <si>
    <t>2.P.2.4.2.410</t>
  </si>
  <si>
    <t>2.P.2.4.2.4100</t>
  </si>
  <si>
    <t>2.P.2.4.2.4104</t>
  </si>
  <si>
    <t>2.P.2.4.2.4109</t>
  </si>
  <si>
    <t>2.P.2.4.2.41</t>
  </si>
  <si>
    <t>2.P.2.4.2.411</t>
  </si>
  <si>
    <t>2.P.2.4.2.419</t>
  </si>
  <si>
    <t>1.A.2.2.1.430</t>
  </si>
  <si>
    <t>1.A.2.2.1.4300</t>
  </si>
  <si>
    <t>1.A.2.2.1.4304</t>
  </si>
  <si>
    <t>1.A.2.2.1.4309</t>
  </si>
  <si>
    <t>1.A.2.2.1.431</t>
  </si>
  <si>
    <t>1.A.2.2.1.4310</t>
  </si>
  <si>
    <t>1.A.2.2.1.4311</t>
  </si>
  <si>
    <t>1.A.2.2.1.4312</t>
  </si>
  <si>
    <t>1.A.2.2.1.4315</t>
  </si>
  <si>
    <t>1.A.2.2.1.433</t>
  </si>
  <si>
    <t>1.A.2.2.1.4330</t>
  </si>
  <si>
    <t>1.A.2.2.1.4331</t>
  </si>
  <si>
    <t>1.A.2.2.1.4332</t>
  </si>
  <si>
    <t>1.A.2.2.1.4334</t>
  </si>
  <si>
    <t>1.A.2.2.1.4336</t>
  </si>
  <si>
    <t>1.A.2.2.1.4337</t>
  </si>
  <si>
    <t>1.A.2.2.1.4339</t>
  </si>
  <si>
    <t>1.A.2.2.3.440</t>
  </si>
  <si>
    <t>1.A.2.2.3.441</t>
  </si>
  <si>
    <t>1.A.2.2.3.44</t>
  </si>
  <si>
    <t>1.A.2.2.3.4400</t>
  </si>
  <si>
    <t>1.A.2.2.3.4404</t>
  </si>
  <si>
    <t>1.A.2.2.3.4409</t>
  </si>
  <si>
    <t>1.A.2.2.3.4410</t>
  </si>
  <si>
    <t>1.A.2.2.3.4411</t>
  </si>
  <si>
    <t>1.A.2.2.3.4412</t>
  </si>
  <si>
    <t>1.A.2.2.3.4415</t>
  </si>
  <si>
    <t>1.A.2.2.3.470</t>
  </si>
  <si>
    <t>1.A.2.2.3.4700</t>
  </si>
  <si>
    <t>1.A.2.2.3.4708</t>
  </si>
  <si>
    <t>1.A.2.2.3.4709</t>
  </si>
  <si>
    <t>1.A.1.6.474</t>
  </si>
  <si>
    <t>1.A.1.6.4740</t>
  </si>
  <si>
    <t>1.A.1.6.4742</t>
  </si>
  <si>
    <t>1.A.1.6.4745</t>
  </si>
  <si>
    <t>2.P.2.4.2.475</t>
  </si>
  <si>
    <t>2.P.2.4.2.4750</t>
  </si>
  <si>
    <t>2.P.2.4.2.4751</t>
  </si>
  <si>
    <t>2.P.2.4.2.4752</t>
  </si>
  <si>
    <t>2.P.2.4.2.4758</t>
  </si>
  <si>
    <t>1.A.2.2.1.493</t>
  </si>
  <si>
    <t>1.A.2.2.1.4933</t>
  </si>
  <si>
    <t>1.A.2.2.1.4934</t>
  </si>
  <si>
    <t>1.A.2.2.1.4935</t>
  </si>
  <si>
    <t>2.P.2.1.499</t>
  </si>
  <si>
    <t>2.P.2.1.4994</t>
  </si>
  <si>
    <t>2.P.2.1.4999</t>
  </si>
  <si>
    <t>2.P.2.2.3.509</t>
  </si>
  <si>
    <t>2.P.2.2.3.5090</t>
  </si>
  <si>
    <t>2.P.2.2.3.5095</t>
  </si>
  <si>
    <t>2.P.2.2.1.520</t>
  </si>
  <si>
    <t>2.P.2.2.1.5200</t>
  </si>
  <si>
    <t>2.P.2.2.1.5201</t>
  </si>
  <si>
    <t>2.P.2.2.1.5208</t>
  </si>
  <si>
    <t>2.P.2.2.1.5209</t>
  </si>
  <si>
    <t>2.P.2.1.529</t>
  </si>
  <si>
    <t>2.P.2.1.5291</t>
  </si>
  <si>
    <t>2.P.2.1.5292</t>
  </si>
  <si>
    <t>2.P.2.1.5293</t>
  </si>
  <si>
    <t>2.P.2.1.5295</t>
  </si>
  <si>
    <t>1.A.2.6.57</t>
  </si>
  <si>
    <t>1.A.2.6.570</t>
  </si>
  <si>
    <t>1.A.2.6.571</t>
  </si>
  <si>
    <t>1.A.2.6.572</t>
  </si>
  <si>
    <t>1.A.2.6.573</t>
  </si>
  <si>
    <t>1.A.2.6.574</t>
  </si>
  <si>
    <t>1.A.2.6.575</t>
  </si>
  <si>
    <t>1.A.2.6.576</t>
  </si>
  <si>
    <t>3.E.1.1.1.100</t>
  </si>
  <si>
    <t>3.E.1.1.1.101</t>
  </si>
  <si>
    <t>3.E.1.1.1.102</t>
  </si>
  <si>
    <t>3.E.1.1.2.1030</t>
  </si>
  <si>
    <t>2.P.2.2.3.1034</t>
  </si>
  <si>
    <t>3.E.1.1.2.1040</t>
  </si>
  <si>
    <t>2.P.2.2.3.1044</t>
  </si>
  <si>
    <t>3.E.1.4.108</t>
  </si>
  <si>
    <t>3.E.1.4.109</t>
  </si>
  <si>
    <t>3.E.1.2.110</t>
  </si>
  <si>
    <t>3.E.1.3.112</t>
  </si>
  <si>
    <t>3.E.1.3.113</t>
  </si>
  <si>
    <t>3.E.1.6.118</t>
  </si>
  <si>
    <t>3.E.1.3.119</t>
  </si>
  <si>
    <t>3.E.1.5.120</t>
  </si>
  <si>
    <t>3.E.1.5.121</t>
  </si>
  <si>
    <t>3.E.1.7.129</t>
  </si>
  <si>
    <t>3.E.2.130</t>
  </si>
  <si>
    <t>3.E.2.131</t>
  </si>
  <si>
    <t>3.E.2.132</t>
  </si>
  <si>
    <t>2.P.1.3.1603</t>
  </si>
  <si>
    <t>2.P.1.3.1604</t>
  </si>
  <si>
    <t>2.P.1.2.1.1605</t>
  </si>
  <si>
    <t>2.P.1.3.1613</t>
  </si>
  <si>
    <t>2.P.1.3.1614</t>
  </si>
  <si>
    <t>2.P.1.2.3.1615</t>
  </si>
  <si>
    <t>2.P.1.3.1623</t>
  </si>
  <si>
    <t>2.P.1.3.1624</t>
  </si>
  <si>
    <t>2.P.1.2.2.1625</t>
  </si>
  <si>
    <t>2.P.1.3.1633</t>
  </si>
  <si>
    <t>2.P.1.3.1634</t>
  </si>
  <si>
    <t>2.P.1.2.3.1635</t>
  </si>
  <si>
    <t>2.P.1.2.1.170</t>
  </si>
  <si>
    <t>2.P.1.2.3.171</t>
  </si>
  <si>
    <t>2.P.1.2.3.172</t>
  </si>
  <si>
    <t>2.P.1.2.3.173</t>
  </si>
  <si>
    <t>2.P.1.2.2.174</t>
  </si>
  <si>
    <t>2.P.1.2.3.175</t>
  </si>
  <si>
    <t>2.P.1.2.3.176</t>
  </si>
  <si>
    <t>2.P.1.2.3.177</t>
  </si>
  <si>
    <t>2.P.1.2.3.179</t>
  </si>
  <si>
    <t>2.P.1.2.3.180</t>
  </si>
  <si>
    <t>2.P.1.5.181</t>
  </si>
  <si>
    <t>2.P.1.2.3.185</t>
  </si>
  <si>
    <t>2.P.2.2.3.190</t>
  </si>
  <si>
    <t>2.P.2.2.3.192</t>
  </si>
  <si>
    <t>2.P.2.2.3.194</t>
  </si>
  <si>
    <t>1.A.1.4.2403</t>
  </si>
  <si>
    <t>1.A.1.4.2404</t>
  </si>
  <si>
    <t>1.A.1.5.2405</t>
  </si>
  <si>
    <t>1.A.1.4.2413</t>
  </si>
  <si>
    <t>1.A.1.4.2414</t>
  </si>
  <si>
    <t>1.A.1.5.2415</t>
  </si>
  <si>
    <t>1.A.1.4.2423</t>
  </si>
  <si>
    <t>1.A.1.4.2424</t>
  </si>
  <si>
    <t>1.A.1.5.2425</t>
  </si>
  <si>
    <t>1.A.1.4.2493</t>
  </si>
  <si>
    <t>1.A.1.4.2494</t>
  </si>
  <si>
    <t>1.A.1.5.2495</t>
  </si>
  <si>
    <t>1.A.1.5.250</t>
  </si>
  <si>
    <t>1.A.1.5.251</t>
  </si>
  <si>
    <t>1.A.1.5.252</t>
  </si>
  <si>
    <t>1.A.1.5.253</t>
  </si>
  <si>
    <t>1.A.1.5.254</t>
  </si>
  <si>
    <t>1.A.1.5.255</t>
  </si>
  <si>
    <t>1.A.1.5.258</t>
  </si>
  <si>
    <t>1.A.1.5.259</t>
  </si>
  <si>
    <t>1.A.1.3.282</t>
  </si>
  <si>
    <t>1.A.1.4.2933</t>
  </si>
  <si>
    <t>1.A.1.4.2934</t>
  </si>
  <si>
    <t>1.A.1.5.2935</t>
  </si>
  <si>
    <t>1.A.1.4.2943</t>
  </si>
  <si>
    <t>1.A.1.4.2944</t>
  </si>
  <si>
    <t>1.A.1.5.2945</t>
  </si>
  <si>
    <t>1.A.1.4.2953</t>
  </si>
  <si>
    <t>1.A.1.5.2954</t>
  </si>
  <si>
    <t>1.A.1.5.2955</t>
  </si>
  <si>
    <t>1.A.1.5.296</t>
  </si>
  <si>
    <t>1.A.1.5.297</t>
  </si>
  <si>
    <t>1.A.1.5.298</t>
  </si>
  <si>
    <t>2.P.2.4.1.401</t>
  </si>
  <si>
    <t>2.P.2.4.1.404</t>
  </si>
  <si>
    <t>2.P.2.4.1.405</t>
  </si>
  <si>
    <t>2.P.2.4.1.406</t>
  </si>
  <si>
    <t>1.A.2.1.407</t>
  </si>
  <si>
    <t>1.A.2.2.1.432</t>
  </si>
  <si>
    <t>1.A.2.2.1.434</t>
  </si>
  <si>
    <t>1.A.2.2.1.435</t>
  </si>
  <si>
    <t>1.A.2.2.1.436</t>
  </si>
  <si>
    <t>1.A.2.2.1.437</t>
  </si>
  <si>
    <t>2.P.2.4.2.438</t>
  </si>
  <si>
    <t>1.A.2.2.3.460</t>
  </si>
  <si>
    <t>2.P.2.4.2.465</t>
  </si>
  <si>
    <t>1.A.2.2.3.471</t>
  </si>
  <si>
    <t>1.A.2.2.3.472</t>
  </si>
  <si>
    <t>2.P.2.4.2.476</t>
  </si>
  <si>
    <t>2.P.2.4.2.477</t>
  </si>
  <si>
    <t>2.P.1.4.479</t>
  </si>
  <si>
    <t>1.A.2.5.480</t>
  </si>
  <si>
    <t>2.P.2.5.485</t>
  </si>
  <si>
    <t>1.A.2.2.1.490</t>
  </si>
  <si>
    <t>2.P.2.2.3.500</t>
  </si>
  <si>
    <t>2.P.2.2.3.505</t>
  </si>
  <si>
    <t>2.P.2.2.3.506</t>
  </si>
  <si>
    <t>2.P.2.3.5103</t>
  </si>
  <si>
    <t>2.P.2.3.5104</t>
  </si>
  <si>
    <t>2.P.2.2.1.5105</t>
  </si>
  <si>
    <t>2.P.2.3.5113</t>
  </si>
  <si>
    <t>2.P.2.3.5114</t>
  </si>
  <si>
    <t>2.P.2.2.3.5115</t>
  </si>
  <si>
    <t>2.P.2.3.5123</t>
  </si>
  <si>
    <t>2.P.2.3.5124</t>
  </si>
  <si>
    <t>2.P.2.2.2.5125</t>
  </si>
  <si>
    <t>2.P.2.3.5133</t>
  </si>
  <si>
    <t>2.P.2.3.5134</t>
  </si>
  <si>
    <t>2.P.2.2.3.5135</t>
  </si>
  <si>
    <t>2.P.2.3.5143</t>
  </si>
  <si>
    <t>2.P.2.3.5144</t>
  </si>
  <si>
    <t>2.P.2.2.3.5145</t>
  </si>
  <si>
    <t>2.P.2.2.3.521</t>
  </si>
  <si>
    <t>2.P.2.2.3.522</t>
  </si>
  <si>
    <t>2.P.2.2.3.523</t>
  </si>
  <si>
    <t>2.P.2.2.2.524</t>
  </si>
  <si>
    <t>2.P.2.2.3.525</t>
  </si>
  <si>
    <t>2.P.2.2.3.526</t>
  </si>
  <si>
    <t>2.P.2.2.1.527</t>
  </si>
  <si>
    <t>2.P.2.2.3.528</t>
  </si>
  <si>
    <t>1.A.2.3.5303</t>
  </si>
  <si>
    <t>1.A.2.3.5304</t>
  </si>
  <si>
    <t>1.A.2.4.5305</t>
  </si>
  <si>
    <t>1.A.2.3.5313</t>
  </si>
  <si>
    <t>1.A.2.3.5314</t>
  </si>
  <si>
    <t>1.A.2.4.5315</t>
  </si>
  <si>
    <t>1.A.2.3.5323</t>
  </si>
  <si>
    <t>1.A.2.3.5324</t>
  </si>
  <si>
    <t>1.A.2.4.5325</t>
  </si>
  <si>
    <t>1.A.2.3.5333</t>
  </si>
  <si>
    <t>1.A.2.3.5334</t>
  </si>
  <si>
    <t>1.A.2.4.5335</t>
  </si>
  <si>
    <t>1.A.2.3.5343</t>
  </si>
  <si>
    <t>1.A.2.3.5344</t>
  </si>
  <si>
    <t>1.A.2.4.5345</t>
  </si>
  <si>
    <t>1.A.2.3.5353</t>
  </si>
  <si>
    <t>1.A.2.3.5354</t>
  </si>
  <si>
    <t>1.A.2.4.5355</t>
  </si>
  <si>
    <t>1.A.2.3.5393</t>
  </si>
  <si>
    <t>1.A.2.3.5394</t>
  </si>
  <si>
    <t>1.A.2.4.5395</t>
  </si>
  <si>
    <t>1.A.2.4.540</t>
  </si>
  <si>
    <t>1.A.2.4.541</t>
  </si>
  <si>
    <t>1.A.2.4.542</t>
  </si>
  <si>
    <t>1.A.2.4.543</t>
  </si>
  <si>
    <t>1.A.2.2.3.544</t>
  </si>
  <si>
    <t>1.A.2.4.545</t>
  </si>
  <si>
    <t>1.A.2.4.546</t>
  </si>
  <si>
    <t>1.A.2.4.547</t>
  </si>
  <si>
    <t>1.A.2.4.548</t>
  </si>
  <si>
    <t>1.A.2.4.549</t>
  </si>
  <si>
    <t>1.A.2.4.551</t>
  </si>
  <si>
    <t>1.A.2.3.5523</t>
  </si>
  <si>
    <t>1.A.2.3.5524</t>
  </si>
  <si>
    <t>1.A.2.4.5525</t>
  </si>
  <si>
    <t>2.P.2.2.3.555</t>
  </si>
  <si>
    <t>2.P.2.3.5563</t>
  </si>
  <si>
    <t>2.P.2.3.5564</t>
  </si>
  <si>
    <t>2.P.2.2.3.5565</t>
  </si>
  <si>
    <t>2.P.2.2.3.5566</t>
  </si>
  <si>
    <t>3.E.1.8.557</t>
  </si>
  <si>
    <t>1.A.2.2.2.5580</t>
  </si>
  <si>
    <t>1.A.2.4.5590</t>
  </si>
  <si>
    <t>2.P.2.2.3.5595</t>
  </si>
  <si>
    <t>2.P.2.2.3.560</t>
  </si>
  <si>
    <t>2.P.2.2.3.561</t>
  </si>
  <si>
    <t>1.A.2.4.565</t>
  </si>
  <si>
    <t>1.A.2.4.566</t>
  </si>
  <si>
    <t>1.A.2.5.567</t>
  </si>
  <si>
    <t>2.P.2.5.568</t>
  </si>
  <si>
    <t>1.A.2.3.5933</t>
  </si>
  <si>
    <t>1.A.2.3.5934</t>
  </si>
  <si>
    <t>1.A.2.3.5943</t>
  </si>
  <si>
    <t>1.A.2.3.5944</t>
  </si>
  <si>
    <t>1.A.2.4.5945</t>
  </si>
  <si>
    <t>1.A.2.3.5953</t>
  </si>
  <si>
    <t>1.A.2.3.5954</t>
  </si>
  <si>
    <t>1.A.2.4.5955</t>
  </si>
  <si>
    <t>1.A.2.4.597</t>
  </si>
  <si>
    <t>1.A.2.4.598</t>
  </si>
  <si>
    <t>Subvenciones, Donaciones y Legados Recibidos</t>
  </si>
  <si>
    <t>Fianzas y Depósitos Constituidos a Largo Plazo</t>
  </si>
  <si>
    <t>Subproductos, Residuos y Materiales Recuperados</t>
  </si>
  <si>
    <t>Deterioro de Valor de Las existencias</t>
  </si>
  <si>
    <t>Otros Gastos de Gestión</t>
  </si>
  <si>
    <t>Pérdidas Procedentes de Activos No Corrientes Y Gastos Excepcionales</t>
  </si>
  <si>
    <t>Dotaciones para Amortizaciones</t>
  </si>
  <si>
    <t>Inmovilizaciones Materiales en Curso</t>
  </si>
  <si>
    <t>Variación de Existencias</t>
  </si>
  <si>
    <t>Subvenciones, Donaciones y Legados</t>
  </si>
  <si>
    <t>Otros Ingresos de Gestión</t>
  </si>
  <si>
    <t>Provisiones</t>
  </si>
  <si>
    <t>Inmovilizaciones Intangibles</t>
  </si>
  <si>
    <t>Inmovilizaciones Materiales</t>
  </si>
  <si>
    <t>Inversiones Inmobiliarias</t>
  </si>
  <si>
    <t>Comerciales</t>
  </si>
  <si>
    <t>Materias Primas</t>
  </si>
  <si>
    <t>Otros Aprovisionamientos</t>
  </si>
  <si>
    <t>Productos en Curso</t>
  </si>
  <si>
    <t>Productos Semiterminados</t>
  </si>
  <si>
    <t>Productos Terminados</t>
  </si>
  <si>
    <t>Acreedores Varios</t>
  </si>
  <si>
    <t>Deudores Varios</t>
  </si>
  <si>
    <t>Compras</t>
  </si>
  <si>
    <t>Servicios Exteriores</t>
  </si>
  <si>
    <t>Tributos</t>
  </si>
  <si>
    <t>Gastos de Personal</t>
  </si>
  <si>
    <t>Gastos Financieros</t>
  </si>
  <si>
    <t>Pérdidas por Deterioro y Otras Dotaciones</t>
  </si>
  <si>
    <t>Ventas de Mercaderías, de Producción Propia, De Servicios, etc</t>
  </si>
  <si>
    <t>Trabajos Realizados para la Empresa</t>
  </si>
  <si>
    <t>Ingresos Financieros</t>
  </si>
  <si>
    <t>Beneficios Procedentes de Activos No Corrientes e Ingresos Excepcionales</t>
  </si>
  <si>
    <t>Excesos y Aplicaciones De Provisiones y De Pérdidas Por Deterioro</t>
  </si>
  <si>
    <t>Tesorería</t>
  </si>
  <si>
    <t>Accumulated Depreciation</t>
  </si>
  <si>
    <t>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</si>
</sst>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Arial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quotePrefix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0" xfId="0" pivotButton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  <xf numFmtId="0" fontId="0" fillId="2" borderId="0" xfId="0" applyFill="1"/>
    <xf numFmtId="0" fontId="1" fillId="2" borderId="0" xfId="0" applyFont="1" applyFill="1" applyAlignment="1">
      <alignment horizontal="center" wrapText="1"/>
    </xf>
    <xf numFmtId="0" fontId="3" fillId="2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onio Cañada Momblant" refreshedDate="45789.847800000003" createdVersion="8" refreshedVersion="8" minRefreshableVersion="3" recordCount="240" xr:uid="{CE703686-BDAA-4FD0-88CD-AD4452D95491}">
  <cacheSource type="worksheet">
    <worksheetSource ref="B2:I243" sheet="cuentas_balance"/>
  </cacheSource>
  <cacheFields count="8">
    <cacheField name="idx" numFmtId="0">
      <sharedItems containsSemiMixedTypes="0" containsString="0" containsNumber="1" containsInteger="1" minValue="1" maxValue="240"/>
    </cacheField>
    <cacheField name="cuenta" numFmtId="0">
      <sharedItems containsString="0" containsBlank="1" containsNumber="1" containsInteger="1" minValue="14" maxValue="5955"/>
    </cacheField>
    <cacheField name="tipo_cuenta" numFmtId="0">
      <sharedItems/>
    </cacheField>
    <cacheField name="subtipo" numFmtId="0">
      <sharedItems containsBlank="1"/>
    </cacheField>
    <cacheField name="subsubtipo" numFmtId="0">
      <sharedItems count="46">
        <s v="ACTIVO NO CORRIENTE"/>
        <s v="ACTIVO CORRIENTE"/>
        <s v="FONDOS PROPIOS"/>
        <s v="SUBVENCIONES, DONACIONES Y LEGADOS RECIBIDOS"/>
        <s v="PASIVO NO CORRIENTE"/>
        <s v="PASIVO CORRIENTE"/>
        <s v="Inmovilizado intangible"/>
        <s v="Inmovilizado material"/>
        <s v="Inversiones inmobiliarias"/>
        <s v="Inversiones en empresas del grupo y asociadas a largo plazo"/>
        <s v="Inversiones financieras a largo plazo"/>
        <s v="Activos por impuesto diferido"/>
        <s v="Existencias"/>
        <s v="Deudores comerciales y otras cuentas a cobrar"/>
        <s v="Clientes por ventas y prestaciones de servicios"/>
        <s v="Accionistas (socios) por desembolsos exigidos"/>
        <s v="Otros deudores"/>
        <s v="Inversiones en empresas del grupo y asociadas a corto plazo"/>
        <s v="Inversiones financieras a corto plazo"/>
        <s v="Periodificaciones a corto plazo"/>
        <s v="Efectivo y otros activos líquidos equivalentes"/>
        <s v="Capital"/>
        <s v="Capital escriturado"/>
        <s v="Capital no exigido"/>
        <s v="Prima de emisión"/>
        <s v="Reservas"/>
        <s v="Acciones y participaciones en patrimonio propias"/>
        <s v="Resultado de ejercicios anteriores"/>
        <s v="Otras aportaciones de socios"/>
        <s v="Resultado del ejercicio"/>
        <s v="Dividendo a cuenta"/>
        <s v="Provisiones a largo plazo"/>
        <s v="Deudas a largo plazo"/>
        <s v="Deudas con entidades de crédito"/>
        <s v="Acreedores por arrendamiento financiero"/>
        <s v="Otras deudas a largo plazo"/>
        <s v="Deudas con empresas del grupo y asociadas a largo plazo"/>
        <s v="Pasivos por impuesto diferido"/>
        <s v="Periodificaciones a largo plazo"/>
        <s v="Provisiones a corto plazo"/>
        <s v="Deudas a corto plazo"/>
        <s v="Otras deudas a corto plazo"/>
        <s v="Deudas con empresas del grupo y asociadas a corto plazo"/>
        <s v="Acreedores comerciales y otras cuentas a pagar"/>
        <s v="Proveedores"/>
        <s v="Otros acreedores"/>
      </sharedItems>
    </cacheField>
    <cacheField name="check_parent" numFmtId="0">
      <sharedItems containsBlank="1"/>
    </cacheField>
    <cacheField name="parent" numFmtId="0">
      <sharedItems/>
    </cacheField>
    <cacheField name="prefijo" numFmtId="0">
      <sharedItems count="51">
        <s v="1.A.1"/>
        <s v="1.A.2"/>
        <s v="3.E.1"/>
        <s v="3.E.2"/>
        <s v="2.P.1"/>
        <s v="2.P.2"/>
        <s v="1.A.1.1"/>
        <s v="1.A.1.2"/>
        <s v="1.A.1.3"/>
        <s v="1.A.1.4"/>
        <s v="1.A.1.5"/>
        <s v="1.A.1.6"/>
        <s v="1.A.2.1"/>
        <s v="1.A.2.2"/>
        <s v="1.A.2.2.1"/>
        <s v="1.A.2.2.2"/>
        <s v="1.A.2.2.3"/>
        <s v="1.A.2.3"/>
        <s v="1.A.2.4"/>
        <s v="1.A.2.5"/>
        <s v="1.A.2.6"/>
        <s v="3.E.1.1"/>
        <s v="3.E.1.1.1"/>
        <s v="3.E.1.1.2"/>
        <s v="3.E.1.2"/>
        <s v="3.E.1.3"/>
        <s v="3.E.1.4"/>
        <s v="3.E.1.5"/>
        <s v="3.E.1.6"/>
        <s v="3.E.1.7"/>
        <s v="3.E.1.8"/>
        <s v="2.P.1.1"/>
        <s v="2.P.1.2"/>
        <s v="2.P.1.2.1"/>
        <s v="2.P.1.2.2"/>
        <s v="2.P.1.2.3"/>
        <s v="2.P.1.3"/>
        <s v="2.P.1.4"/>
        <s v="2.P.1.5"/>
        <s v="2.P.2.1"/>
        <s v="2.P.2.2"/>
        <s v="2.P.2.2.1"/>
        <s v="2.P.2.2.2"/>
        <s v="2.P.2.2.3"/>
        <s v="2.P.2.3"/>
        <s v="2.P.2.4"/>
        <s v="2.P.2.4.1"/>
        <s v="2.P.2.4.2"/>
        <s v="2.P.2.5"/>
        <s v="2.P.1.2.4" u="1"/>
        <s v="2.P.1.2.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n v="1"/>
    <m/>
    <s v="activo"/>
    <s v="activo_no_corriente"/>
    <x v="0"/>
    <m/>
    <s v="1.A"/>
    <x v="0"/>
  </r>
  <r>
    <n v="2"/>
    <m/>
    <s v="activo"/>
    <s v="activo_corriente"/>
    <x v="1"/>
    <m/>
    <s v="1.A"/>
    <x v="1"/>
  </r>
  <r>
    <n v="3"/>
    <m/>
    <s v="patrimonio"/>
    <m/>
    <x v="2"/>
    <m/>
    <s v="3.E"/>
    <x v="2"/>
  </r>
  <r>
    <n v="4"/>
    <m/>
    <s v="patrimonio"/>
    <m/>
    <x v="3"/>
    <m/>
    <s v="3.E"/>
    <x v="3"/>
  </r>
  <r>
    <n v="5"/>
    <m/>
    <s v="pasivo"/>
    <s v="pasivo_no_corriente"/>
    <x v="4"/>
    <m/>
    <s v="2.P"/>
    <x v="4"/>
  </r>
  <r>
    <n v="6"/>
    <m/>
    <s v="pasivo"/>
    <s v="pasivo_corriente"/>
    <x v="5"/>
    <m/>
    <s v="2.P"/>
    <x v="5"/>
  </r>
  <r>
    <n v="7"/>
    <n v="20"/>
    <s v="activo"/>
    <s v="activo_no_corriente"/>
    <x v="6"/>
    <s v="1.A.1"/>
    <s v="1.A.1"/>
    <x v="6"/>
  </r>
  <r>
    <n v="8"/>
    <n v="180"/>
    <s v="activo"/>
    <s v="activo_no_corriente"/>
    <x v="6"/>
    <s v="1.A.1"/>
    <s v="1.A.1"/>
    <x v="6"/>
  </r>
  <r>
    <n v="9"/>
    <n v="290"/>
    <s v="activo"/>
    <s v="activo_no_corriente"/>
    <x v="6"/>
    <s v="1.A.1"/>
    <s v="1.A.1"/>
    <x v="6"/>
  </r>
  <r>
    <n v="10"/>
    <n v="21"/>
    <s v="activo"/>
    <s v="activo_no_corriente"/>
    <x v="7"/>
    <s v="1.A.1"/>
    <s v="1.A.1"/>
    <x v="7"/>
  </r>
  <r>
    <n v="11"/>
    <n v="281"/>
    <s v="activo"/>
    <s v="activo_no_corriente"/>
    <x v="7"/>
    <s v="1.A.1"/>
    <s v="1.A.1"/>
    <x v="7"/>
  </r>
  <r>
    <n v="12"/>
    <n v="291"/>
    <s v="activo"/>
    <s v="activo_no_corriente"/>
    <x v="7"/>
    <s v="1.A.1"/>
    <s v="1.A.1"/>
    <x v="7"/>
  </r>
  <r>
    <n v="13"/>
    <n v="23"/>
    <s v="activo"/>
    <s v="activo_no_corriente"/>
    <x v="7"/>
    <s v="1.A.1"/>
    <s v="1.A.1"/>
    <x v="7"/>
  </r>
  <r>
    <n v="14"/>
    <n v="22"/>
    <s v="activo"/>
    <s v="activo_no_corriente"/>
    <x v="8"/>
    <s v="1.A.1"/>
    <s v="1.A.1"/>
    <x v="8"/>
  </r>
  <r>
    <n v="15"/>
    <n v="282"/>
    <s v="activo"/>
    <s v="activo_no_corriente"/>
    <x v="8"/>
    <s v="1.A.1"/>
    <s v="1.A.1"/>
    <x v="8"/>
  </r>
  <r>
    <n v="16"/>
    <n v="292"/>
    <s v="activo"/>
    <s v="activo_no_corriente"/>
    <x v="8"/>
    <s v="1.A.1"/>
    <s v="1.A.1"/>
    <x v="8"/>
  </r>
  <r>
    <n v="17"/>
    <n v="2403"/>
    <s v="activo"/>
    <s v="activo_no_corriente"/>
    <x v="9"/>
    <s v="1.A.1"/>
    <s v="1.A.1"/>
    <x v="9"/>
  </r>
  <r>
    <n v="18"/>
    <n v="2404"/>
    <s v="activo"/>
    <s v="activo_no_corriente"/>
    <x v="9"/>
    <s v="1.A.1"/>
    <s v="1.A.1"/>
    <x v="9"/>
  </r>
  <r>
    <n v="19"/>
    <n v="2413"/>
    <s v="activo"/>
    <s v="activo_no_corriente"/>
    <x v="9"/>
    <s v="1.A.1"/>
    <s v="1.A.1"/>
    <x v="9"/>
  </r>
  <r>
    <n v="20"/>
    <n v="2414"/>
    <s v="activo"/>
    <s v="activo_no_corriente"/>
    <x v="9"/>
    <s v="1.A.1"/>
    <s v="1.A.1"/>
    <x v="9"/>
  </r>
  <r>
    <n v="21"/>
    <n v="2423"/>
    <s v="activo"/>
    <s v="activo_no_corriente"/>
    <x v="9"/>
    <s v="1.A.1"/>
    <s v="1.A.1"/>
    <x v="9"/>
  </r>
  <r>
    <n v="22"/>
    <n v="2424"/>
    <s v="activo"/>
    <s v="activo_no_corriente"/>
    <x v="9"/>
    <s v="1.A.1"/>
    <s v="1.A.1"/>
    <x v="9"/>
  </r>
  <r>
    <n v="23"/>
    <n v="2493"/>
    <s v="activo"/>
    <s v="activo_no_corriente"/>
    <x v="9"/>
    <s v="1.A.1"/>
    <s v="1.A.1"/>
    <x v="9"/>
  </r>
  <r>
    <n v="24"/>
    <n v="2494"/>
    <s v="activo"/>
    <s v="activo_no_corriente"/>
    <x v="9"/>
    <s v="1.A.1"/>
    <s v="1.A.1"/>
    <x v="9"/>
  </r>
  <r>
    <n v="25"/>
    <n v="2933"/>
    <s v="activo"/>
    <s v="activo_no_corriente"/>
    <x v="9"/>
    <s v="1.A.1"/>
    <s v="1.A.1"/>
    <x v="9"/>
  </r>
  <r>
    <n v="26"/>
    <n v="2934"/>
    <s v="activo"/>
    <s v="activo_no_corriente"/>
    <x v="9"/>
    <s v="1.A.1"/>
    <s v="1.A.1"/>
    <x v="9"/>
  </r>
  <r>
    <n v="27"/>
    <n v="2943"/>
    <s v="activo"/>
    <s v="activo_no_corriente"/>
    <x v="9"/>
    <s v="1.A.1"/>
    <s v="1.A.1"/>
    <x v="9"/>
  </r>
  <r>
    <n v="28"/>
    <n v="2944"/>
    <s v="activo"/>
    <s v="activo_no_corriente"/>
    <x v="9"/>
    <s v="1.A.1"/>
    <s v="1.A.1"/>
    <x v="9"/>
  </r>
  <r>
    <n v="29"/>
    <n v="2953"/>
    <s v="activo"/>
    <s v="activo_no_corriente"/>
    <x v="9"/>
    <s v="1.A.1"/>
    <s v="1.A.1"/>
    <x v="9"/>
  </r>
  <r>
    <n v="30"/>
    <n v="2954"/>
    <s v="activo"/>
    <s v="activo_no_corriente"/>
    <x v="10"/>
    <s v="1.A.1"/>
    <s v="1.A.1"/>
    <x v="10"/>
  </r>
  <r>
    <n v="31"/>
    <n v="2405"/>
    <s v="activo"/>
    <s v="activo_no_corriente"/>
    <x v="10"/>
    <s v="1.A.1"/>
    <s v="1.A.1"/>
    <x v="10"/>
  </r>
  <r>
    <n v="32"/>
    <n v="2415"/>
    <s v="activo"/>
    <s v="activo_no_corriente"/>
    <x v="10"/>
    <s v="1.A.1"/>
    <s v="1.A.1"/>
    <x v="10"/>
  </r>
  <r>
    <n v="33"/>
    <n v="2425"/>
    <s v="activo"/>
    <s v="activo_no_corriente"/>
    <x v="10"/>
    <s v="1.A.1"/>
    <s v="1.A.1"/>
    <x v="10"/>
  </r>
  <r>
    <n v="34"/>
    <n v="2495"/>
    <s v="activo"/>
    <s v="activo_no_corriente"/>
    <x v="10"/>
    <s v="1.A.1"/>
    <s v="1.A.1"/>
    <x v="10"/>
  </r>
  <r>
    <n v="35"/>
    <n v="250"/>
    <s v="activo"/>
    <s v="activo_no_corriente"/>
    <x v="10"/>
    <s v="1.A.1"/>
    <s v="1.A.1"/>
    <x v="10"/>
  </r>
  <r>
    <n v="36"/>
    <n v="251"/>
    <s v="activo"/>
    <s v="activo_no_corriente"/>
    <x v="10"/>
    <s v="1.A.1"/>
    <s v="1.A.1"/>
    <x v="10"/>
  </r>
  <r>
    <n v="37"/>
    <n v="252"/>
    <s v="activo"/>
    <s v="activo_no_corriente"/>
    <x v="10"/>
    <s v="1.A.1"/>
    <s v="1.A.1"/>
    <x v="10"/>
  </r>
  <r>
    <n v="38"/>
    <n v="253"/>
    <s v="activo"/>
    <s v="activo_no_corriente"/>
    <x v="10"/>
    <s v="1.A.1"/>
    <s v="1.A.1"/>
    <x v="10"/>
  </r>
  <r>
    <n v="39"/>
    <n v="254"/>
    <s v="activo"/>
    <s v="activo_no_corriente"/>
    <x v="10"/>
    <s v="1.A.1"/>
    <s v="1.A.1"/>
    <x v="10"/>
  </r>
  <r>
    <n v="40"/>
    <n v="255"/>
    <s v="activo"/>
    <s v="activo_no_corriente"/>
    <x v="10"/>
    <s v="1.A.1"/>
    <s v="1.A.1"/>
    <x v="10"/>
  </r>
  <r>
    <n v="41"/>
    <n v="258"/>
    <s v="activo"/>
    <s v="activo_no_corriente"/>
    <x v="10"/>
    <s v="1.A.1"/>
    <s v="1.A.1"/>
    <x v="10"/>
  </r>
  <r>
    <n v="42"/>
    <n v="259"/>
    <s v="activo"/>
    <s v="activo_no_corriente"/>
    <x v="10"/>
    <s v="1.A.1"/>
    <s v="1.A.1"/>
    <x v="10"/>
  </r>
  <r>
    <n v="43"/>
    <n v="26"/>
    <s v="activo"/>
    <s v="activo_no_corriente"/>
    <x v="10"/>
    <s v="1.A.1"/>
    <s v="1.A.1"/>
    <x v="10"/>
  </r>
  <r>
    <n v="44"/>
    <n v="2935"/>
    <s v="activo"/>
    <s v="activo_no_corriente"/>
    <x v="10"/>
    <s v="1.A.1"/>
    <s v="1.A.1"/>
    <x v="10"/>
  </r>
  <r>
    <n v="45"/>
    <n v="2945"/>
    <s v="activo"/>
    <s v="activo_no_corriente"/>
    <x v="10"/>
    <s v="1.A.1"/>
    <s v="1.A.1"/>
    <x v="10"/>
  </r>
  <r>
    <n v="46"/>
    <n v="2955"/>
    <s v="activo"/>
    <s v="activo_no_corriente"/>
    <x v="10"/>
    <s v="1.A.1"/>
    <s v="1.A.1"/>
    <x v="10"/>
  </r>
  <r>
    <n v="47"/>
    <n v="296"/>
    <s v="activo"/>
    <s v="activo_no_corriente"/>
    <x v="10"/>
    <s v="1.A.1"/>
    <s v="1.A.1"/>
    <x v="10"/>
  </r>
  <r>
    <n v="48"/>
    <n v="297"/>
    <s v="activo"/>
    <s v="activo_no_corriente"/>
    <x v="10"/>
    <s v="1.A.1"/>
    <s v="1.A.1"/>
    <x v="10"/>
  </r>
  <r>
    <n v="49"/>
    <n v="298"/>
    <s v="activo"/>
    <s v="activo_no_corriente"/>
    <x v="10"/>
    <s v="1.A.1"/>
    <s v="1.A.1"/>
    <x v="10"/>
  </r>
  <r>
    <n v="50"/>
    <n v="474"/>
    <s v="activo"/>
    <s v="activo_no_corriente"/>
    <x v="11"/>
    <s v="1.A.1"/>
    <s v="1.A.1"/>
    <x v="11"/>
  </r>
  <r>
    <n v="51"/>
    <n v="30"/>
    <s v="activo"/>
    <s v="activo_corriente"/>
    <x v="12"/>
    <s v="1.A.2"/>
    <s v="1.A.2"/>
    <x v="12"/>
  </r>
  <r>
    <n v="52"/>
    <n v="31"/>
    <s v="activo"/>
    <s v="activo_corriente"/>
    <x v="12"/>
    <s v="1.A.2"/>
    <s v="1.A.2"/>
    <x v="12"/>
  </r>
  <r>
    <n v="53"/>
    <n v="32"/>
    <s v="activo"/>
    <s v="activo_corriente"/>
    <x v="12"/>
    <s v="1.A.2"/>
    <s v="1.A.2"/>
    <x v="12"/>
  </r>
  <r>
    <n v="54"/>
    <n v="33"/>
    <s v="activo"/>
    <s v="activo_corriente"/>
    <x v="12"/>
    <s v="1.A.2"/>
    <s v="1.A.2"/>
    <x v="12"/>
  </r>
  <r>
    <n v="55"/>
    <n v="34"/>
    <s v="activo"/>
    <s v="activo_corriente"/>
    <x v="12"/>
    <s v="1.A.2"/>
    <s v="1.A.2"/>
    <x v="12"/>
  </r>
  <r>
    <n v="56"/>
    <n v="35"/>
    <s v="activo"/>
    <s v="activo_corriente"/>
    <x v="12"/>
    <s v="1.A.2"/>
    <s v="1.A.2"/>
    <x v="12"/>
  </r>
  <r>
    <n v="57"/>
    <n v="36"/>
    <s v="activo"/>
    <s v="activo_corriente"/>
    <x v="12"/>
    <s v="1.A.2"/>
    <s v="1.A.2"/>
    <x v="12"/>
  </r>
  <r>
    <n v="58"/>
    <n v="39"/>
    <s v="activo"/>
    <s v="activo_corriente"/>
    <x v="12"/>
    <s v="1.A.2"/>
    <s v="1.A.2"/>
    <x v="12"/>
  </r>
  <r>
    <n v="59"/>
    <n v="407"/>
    <s v="activo"/>
    <s v="activo_corriente"/>
    <x v="12"/>
    <s v="1.A.2"/>
    <s v="1.A.2"/>
    <x v="12"/>
  </r>
  <r>
    <n v="60"/>
    <m/>
    <s v="activo"/>
    <s v="activo_corriente"/>
    <x v="13"/>
    <s v="1.A.2"/>
    <s v="1.A.2"/>
    <x v="13"/>
  </r>
  <r>
    <n v="61"/>
    <n v="430"/>
    <s v="activo"/>
    <s v="activo_corriente"/>
    <x v="14"/>
    <s v="1.A.2.2"/>
    <s v="1.A.2.2"/>
    <x v="14"/>
  </r>
  <r>
    <n v="62"/>
    <n v="431"/>
    <s v="activo"/>
    <s v="activo_corriente"/>
    <x v="14"/>
    <s v="1.A.2.2"/>
    <s v="1.A.2.2"/>
    <x v="14"/>
  </r>
  <r>
    <n v="63"/>
    <n v="432"/>
    <s v="activo"/>
    <s v="activo_corriente"/>
    <x v="14"/>
    <s v="1.A.2.2"/>
    <s v="1.A.2.2"/>
    <x v="14"/>
  </r>
  <r>
    <n v="64"/>
    <n v="433"/>
    <s v="activo"/>
    <s v="activo_corriente"/>
    <x v="14"/>
    <s v="1.A.2.2"/>
    <s v="1.A.2.2"/>
    <x v="14"/>
  </r>
  <r>
    <n v="65"/>
    <n v="434"/>
    <s v="activo"/>
    <s v="activo_corriente"/>
    <x v="14"/>
    <s v="1.A.2.2"/>
    <s v="1.A.2.2"/>
    <x v="14"/>
  </r>
  <r>
    <n v="66"/>
    <n v="435"/>
    <s v="activo"/>
    <s v="activo_corriente"/>
    <x v="14"/>
    <s v="1.A.2.2"/>
    <s v="1.A.2.2"/>
    <x v="14"/>
  </r>
  <r>
    <n v="67"/>
    <n v="436"/>
    <s v="activo"/>
    <s v="activo_corriente"/>
    <x v="14"/>
    <s v="1.A.2.2"/>
    <s v="1.A.2.2"/>
    <x v="14"/>
  </r>
  <r>
    <n v="68"/>
    <n v="437"/>
    <s v="activo"/>
    <s v="activo_corriente"/>
    <x v="14"/>
    <s v="1.A.2.2"/>
    <s v="1.A.2.2"/>
    <x v="14"/>
  </r>
  <r>
    <n v="69"/>
    <n v="490"/>
    <s v="activo"/>
    <s v="activo_corriente"/>
    <x v="14"/>
    <s v="1.A.2.2"/>
    <s v="1.A.2.2"/>
    <x v="14"/>
  </r>
  <r>
    <n v="70"/>
    <n v="493"/>
    <s v="activo"/>
    <s v="activo_corriente"/>
    <x v="14"/>
    <s v="1.A.2.2"/>
    <s v="1.A.2.2"/>
    <x v="14"/>
  </r>
  <r>
    <n v="71"/>
    <n v="5580"/>
    <s v="activo"/>
    <s v="activo_corriente"/>
    <x v="15"/>
    <s v="1.A.2.2"/>
    <s v="1.A.2.2"/>
    <x v="15"/>
  </r>
  <r>
    <n v="72"/>
    <n v="44"/>
    <s v="activo"/>
    <s v="activo_corriente"/>
    <x v="16"/>
    <s v="1.A.2.2"/>
    <s v="1.A.2.2"/>
    <x v="16"/>
  </r>
  <r>
    <n v="73"/>
    <n v="460"/>
    <s v="activo"/>
    <s v="activo_corriente"/>
    <x v="16"/>
    <s v="1.A.2.2"/>
    <s v="1.A.2.2"/>
    <x v="16"/>
  </r>
  <r>
    <n v="74"/>
    <n v="470"/>
    <s v="activo"/>
    <s v="activo_corriente"/>
    <x v="16"/>
    <s v="1.A.2.2"/>
    <s v="1.A.2.2"/>
    <x v="16"/>
  </r>
  <r>
    <n v="75"/>
    <n v="471"/>
    <s v="activo"/>
    <s v="activo_corriente"/>
    <x v="16"/>
    <s v="1.A.2.2"/>
    <s v="1.A.2.2"/>
    <x v="16"/>
  </r>
  <r>
    <n v="76"/>
    <n v="472"/>
    <s v="activo"/>
    <s v="activo_corriente"/>
    <x v="16"/>
    <s v="1.A.2.2"/>
    <s v="1.A.2.2"/>
    <x v="16"/>
  </r>
  <r>
    <n v="77"/>
    <n v="544"/>
    <s v="activo"/>
    <s v="activo_corriente"/>
    <x v="16"/>
    <s v="1.A.2.2"/>
    <s v="1.A.2.2"/>
    <x v="16"/>
  </r>
  <r>
    <n v="78"/>
    <n v="5303"/>
    <s v="activo"/>
    <s v="activo_corriente"/>
    <x v="17"/>
    <s v="1.A.2"/>
    <s v="1.A.2"/>
    <x v="17"/>
  </r>
  <r>
    <n v="79"/>
    <n v="5304"/>
    <s v="activo"/>
    <s v="activo_corriente"/>
    <x v="17"/>
    <s v="1.A.2"/>
    <s v="1.A.2"/>
    <x v="17"/>
  </r>
  <r>
    <n v="80"/>
    <n v="5313"/>
    <s v="activo"/>
    <s v="activo_corriente"/>
    <x v="17"/>
    <s v="1.A.2"/>
    <s v="1.A.2"/>
    <x v="17"/>
  </r>
  <r>
    <n v="81"/>
    <n v="5314"/>
    <s v="activo"/>
    <s v="activo_corriente"/>
    <x v="17"/>
    <s v="1.A.2"/>
    <s v="1.A.2"/>
    <x v="17"/>
  </r>
  <r>
    <n v="82"/>
    <n v="5323"/>
    <s v="activo"/>
    <s v="activo_corriente"/>
    <x v="17"/>
    <s v="1.A.2"/>
    <s v="1.A.2"/>
    <x v="17"/>
  </r>
  <r>
    <n v="83"/>
    <n v="5324"/>
    <s v="activo"/>
    <s v="activo_corriente"/>
    <x v="17"/>
    <s v="1.A.2"/>
    <s v="1.A.2"/>
    <x v="17"/>
  </r>
  <r>
    <n v="84"/>
    <n v="5333"/>
    <s v="activo"/>
    <s v="activo_corriente"/>
    <x v="17"/>
    <s v="1.A.2"/>
    <s v="1.A.2"/>
    <x v="17"/>
  </r>
  <r>
    <n v="85"/>
    <n v="5334"/>
    <s v="activo"/>
    <s v="activo_corriente"/>
    <x v="17"/>
    <s v="1.A.2"/>
    <s v="1.A.2"/>
    <x v="17"/>
  </r>
  <r>
    <n v="86"/>
    <n v="5343"/>
    <s v="activo"/>
    <s v="activo_corriente"/>
    <x v="17"/>
    <s v="1.A.2"/>
    <s v="1.A.2"/>
    <x v="17"/>
  </r>
  <r>
    <n v="87"/>
    <n v="5344"/>
    <s v="activo"/>
    <s v="activo_corriente"/>
    <x v="17"/>
    <s v="1.A.2"/>
    <s v="1.A.2"/>
    <x v="17"/>
  </r>
  <r>
    <n v="88"/>
    <n v="5353"/>
    <s v="activo"/>
    <s v="activo_corriente"/>
    <x v="17"/>
    <s v="1.A.2"/>
    <s v="1.A.2"/>
    <x v="17"/>
  </r>
  <r>
    <n v="89"/>
    <n v="5354"/>
    <s v="activo"/>
    <s v="activo_corriente"/>
    <x v="17"/>
    <s v="1.A.2"/>
    <s v="1.A.2"/>
    <x v="17"/>
  </r>
  <r>
    <n v="90"/>
    <n v="5393"/>
    <s v="activo"/>
    <s v="activo_corriente"/>
    <x v="17"/>
    <s v="1.A.2"/>
    <s v="1.A.2"/>
    <x v="17"/>
  </r>
  <r>
    <n v="91"/>
    <n v="5394"/>
    <s v="activo"/>
    <s v="activo_corriente"/>
    <x v="17"/>
    <s v="1.A.2"/>
    <s v="1.A.2"/>
    <x v="17"/>
  </r>
  <r>
    <n v="92"/>
    <n v="5523"/>
    <s v="activo"/>
    <s v="activo_corriente"/>
    <x v="17"/>
    <s v="1.A.2"/>
    <s v="1.A.2"/>
    <x v="17"/>
  </r>
  <r>
    <n v="93"/>
    <n v="5524"/>
    <s v="activo"/>
    <s v="activo_corriente"/>
    <x v="17"/>
    <s v="1.A.2"/>
    <s v="1.A.2"/>
    <x v="17"/>
  </r>
  <r>
    <n v="94"/>
    <n v="5933"/>
    <s v="activo"/>
    <s v="activo_corriente"/>
    <x v="17"/>
    <s v="1.A.2"/>
    <s v="1.A.2"/>
    <x v="17"/>
  </r>
  <r>
    <n v="95"/>
    <n v="5934"/>
    <s v="activo"/>
    <s v="activo_corriente"/>
    <x v="17"/>
    <s v="1.A.2"/>
    <s v="1.A.2"/>
    <x v="17"/>
  </r>
  <r>
    <n v="96"/>
    <n v="5943"/>
    <s v="activo"/>
    <s v="activo_corriente"/>
    <x v="17"/>
    <s v="1.A.2"/>
    <s v="1.A.2"/>
    <x v="17"/>
  </r>
  <r>
    <n v="97"/>
    <n v="5944"/>
    <s v="activo"/>
    <s v="activo_corriente"/>
    <x v="17"/>
    <s v="1.A.2"/>
    <s v="1.A.2"/>
    <x v="17"/>
  </r>
  <r>
    <n v="98"/>
    <n v="5953"/>
    <s v="activo"/>
    <s v="activo_corriente"/>
    <x v="17"/>
    <s v="1.A.2"/>
    <s v="1.A.2"/>
    <x v="17"/>
  </r>
  <r>
    <n v="99"/>
    <n v="5954"/>
    <s v="activo"/>
    <s v="activo_corriente"/>
    <x v="17"/>
    <s v="1.A.2"/>
    <s v="1.A.2"/>
    <x v="17"/>
  </r>
  <r>
    <n v="100"/>
    <n v="5305"/>
    <s v="activo"/>
    <s v="activo_corriente"/>
    <x v="18"/>
    <s v="1.A.2"/>
    <s v="1.A.2"/>
    <x v="18"/>
  </r>
  <r>
    <n v="101"/>
    <n v="5315"/>
    <s v="activo"/>
    <s v="activo_corriente"/>
    <x v="18"/>
    <s v="1.A.2"/>
    <s v="1.A.2"/>
    <x v="18"/>
  </r>
  <r>
    <n v="102"/>
    <n v="5325"/>
    <s v="activo"/>
    <s v="activo_corriente"/>
    <x v="18"/>
    <s v="1.A.2"/>
    <s v="1.A.2"/>
    <x v="18"/>
  </r>
  <r>
    <n v="103"/>
    <n v="5335"/>
    <s v="activo"/>
    <s v="activo_corriente"/>
    <x v="18"/>
    <s v="1.A.2"/>
    <s v="1.A.2"/>
    <x v="18"/>
  </r>
  <r>
    <n v="104"/>
    <n v="5345"/>
    <s v="activo"/>
    <s v="activo_corriente"/>
    <x v="18"/>
    <s v="1.A.2"/>
    <s v="1.A.2"/>
    <x v="18"/>
  </r>
  <r>
    <n v="105"/>
    <n v="5355"/>
    <s v="activo"/>
    <s v="activo_corriente"/>
    <x v="18"/>
    <s v="1.A.2"/>
    <s v="1.A.2"/>
    <x v="18"/>
  </r>
  <r>
    <n v="106"/>
    <n v="5395"/>
    <s v="activo"/>
    <s v="activo_corriente"/>
    <x v="18"/>
    <s v="1.A.2"/>
    <s v="1.A.2"/>
    <x v="18"/>
  </r>
  <r>
    <n v="107"/>
    <n v="540"/>
    <s v="activo"/>
    <s v="activo_corriente"/>
    <x v="18"/>
    <s v="1.A.2"/>
    <s v="1.A.2"/>
    <x v="18"/>
  </r>
  <r>
    <n v="108"/>
    <n v="541"/>
    <s v="activo"/>
    <s v="activo_corriente"/>
    <x v="18"/>
    <s v="1.A.2"/>
    <s v="1.A.2"/>
    <x v="18"/>
  </r>
  <r>
    <n v="109"/>
    <n v="542"/>
    <s v="activo"/>
    <s v="activo_corriente"/>
    <x v="18"/>
    <s v="1.A.2"/>
    <s v="1.A.2"/>
    <x v="18"/>
  </r>
  <r>
    <n v="110"/>
    <n v="543"/>
    <s v="activo"/>
    <s v="activo_corriente"/>
    <x v="18"/>
    <s v="1.A.2"/>
    <s v="1.A.2"/>
    <x v="18"/>
  </r>
  <r>
    <n v="111"/>
    <n v="545"/>
    <s v="activo"/>
    <s v="activo_corriente"/>
    <x v="18"/>
    <s v="1.A.2"/>
    <s v="1.A.2"/>
    <x v="18"/>
  </r>
  <r>
    <n v="112"/>
    <n v="546"/>
    <s v="activo"/>
    <s v="activo_corriente"/>
    <x v="18"/>
    <s v="1.A.2"/>
    <s v="1.A.2"/>
    <x v="18"/>
  </r>
  <r>
    <n v="113"/>
    <n v="547"/>
    <s v="activo"/>
    <s v="activo_corriente"/>
    <x v="18"/>
    <s v="1.A.2"/>
    <s v="1.A.2"/>
    <x v="18"/>
  </r>
  <r>
    <n v="114"/>
    <n v="548"/>
    <s v="activo"/>
    <s v="activo_corriente"/>
    <x v="18"/>
    <s v="1.A.2"/>
    <s v="1.A.2"/>
    <x v="18"/>
  </r>
  <r>
    <n v="115"/>
    <n v="549"/>
    <s v="activo"/>
    <s v="activo_corriente"/>
    <x v="18"/>
    <s v="1.A.2"/>
    <s v="1.A.2"/>
    <x v="18"/>
  </r>
  <r>
    <n v="116"/>
    <n v="551"/>
    <s v="activo"/>
    <s v="activo_corriente"/>
    <x v="18"/>
    <s v="1.A.2"/>
    <s v="1.A.2"/>
    <x v="18"/>
  </r>
  <r>
    <n v="117"/>
    <n v="5525"/>
    <s v="activo"/>
    <s v="activo_corriente"/>
    <x v="18"/>
    <s v="1.A.2"/>
    <s v="1.A.2"/>
    <x v="18"/>
  </r>
  <r>
    <n v="118"/>
    <n v="5590"/>
    <s v="activo"/>
    <s v="activo_corriente"/>
    <x v="18"/>
    <s v="1.A.2"/>
    <s v="1.A.2"/>
    <x v="18"/>
  </r>
  <r>
    <n v="119"/>
    <n v="565"/>
    <s v="activo"/>
    <s v="activo_corriente"/>
    <x v="18"/>
    <s v="1.A.2"/>
    <s v="1.A.2"/>
    <x v="18"/>
  </r>
  <r>
    <n v="120"/>
    <n v="566"/>
    <s v="activo"/>
    <s v="activo_corriente"/>
    <x v="18"/>
    <s v="1.A.2"/>
    <s v="1.A.2"/>
    <x v="18"/>
  </r>
  <r>
    <n v="121"/>
    <n v="5935"/>
    <s v="activo"/>
    <s v="activo_corriente"/>
    <x v="18"/>
    <s v="1.A.2"/>
    <s v="1.A.2"/>
    <x v="18"/>
  </r>
  <r>
    <n v="122"/>
    <n v="5945"/>
    <s v="activo"/>
    <s v="activo_corriente"/>
    <x v="18"/>
    <s v="1.A.2"/>
    <s v="1.A.2"/>
    <x v="18"/>
  </r>
  <r>
    <n v="123"/>
    <n v="5955"/>
    <s v="activo"/>
    <s v="activo_corriente"/>
    <x v="18"/>
    <s v="1.A.2"/>
    <s v="1.A.2"/>
    <x v="18"/>
  </r>
  <r>
    <n v="124"/>
    <n v="596"/>
    <s v="activo"/>
    <s v="activo_corriente"/>
    <x v="18"/>
    <s v="1.A.2"/>
    <s v="1.A.2"/>
    <x v="18"/>
  </r>
  <r>
    <n v="125"/>
    <n v="597"/>
    <s v="activo"/>
    <s v="activo_corriente"/>
    <x v="18"/>
    <s v="1.A.2"/>
    <s v="1.A.2"/>
    <x v="18"/>
  </r>
  <r>
    <n v="126"/>
    <n v="598"/>
    <s v="activo"/>
    <s v="activo_corriente"/>
    <x v="18"/>
    <s v="1.A.2"/>
    <s v="1.A.2"/>
    <x v="18"/>
  </r>
  <r>
    <n v="127"/>
    <n v="480"/>
    <s v="activo"/>
    <s v="activo_corriente"/>
    <x v="19"/>
    <s v="1.A.2"/>
    <s v="1.A.2"/>
    <x v="19"/>
  </r>
  <r>
    <n v="128"/>
    <n v="567"/>
    <s v="activo"/>
    <s v="activo_corriente"/>
    <x v="19"/>
    <s v="1.A.2"/>
    <s v="1.A.2"/>
    <x v="19"/>
  </r>
  <r>
    <n v="129"/>
    <n v="57"/>
    <s v="activo"/>
    <s v="activo_corriente"/>
    <x v="20"/>
    <s v="1.A.2"/>
    <s v="1.A.2"/>
    <x v="20"/>
  </r>
  <r>
    <n v="130"/>
    <m/>
    <s v="patrimonio"/>
    <m/>
    <x v="2"/>
    <e v="#N/A"/>
    <s v="3.E"/>
    <x v="2"/>
  </r>
  <r>
    <n v="131"/>
    <m/>
    <s v="patrimonio"/>
    <m/>
    <x v="21"/>
    <s v="3.E.1"/>
    <s v="3.E.1"/>
    <x v="21"/>
  </r>
  <r>
    <n v="132"/>
    <n v="100"/>
    <s v="patrimonio"/>
    <m/>
    <x v="22"/>
    <s v="3.E.1.1"/>
    <s v="3.E.1.1"/>
    <x v="22"/>
  </r>
  <r>
    <n v="133"/>
    <n v="101"/>
    <s v="patrimonio"/>
    <m/>
    <x v="22"/>
    <s v="3.E.1.1"/>
    <s v="3.E.1.1"/>
    <x v="22"/>
  </r>
  <r>
    <n v="134"/>
    <n v="102"/>
    <s v="patrimonio"/>
    <m/>
    <x v="22"/>
    <s v="3.E.1.1"/>
    <s v="3.E.1.1"/>
    <x v="22"/>
  </r>
  <r>
    <n v="135"/>
    <n v="1030"/>
    <s v="patrimonio"/>
    <m/>
    <x v="23"/>
    <s v="3.E.1.1"/>
    <s v="3.E.1.1"/>
    <x v="23"/>
  </r>
  <r>
    <n v="136"/>
    <n v="1040"/>
    <s v="patrimonio"/>
    <m/>
    <x v="23"/>
    <s v="3.E.1.1"/>
    <s v="3.E.1.1"/>
    <x v="23"/>
  </r>
  <r>
    <n v="137"/>
    <n v="110"/>
    <s v="patrimonio"/>
    <m/>
    <x v="24"/>
    <s v="3.E.1"/>
    <s v="3.E.1"/>
    <x v="24"/>
  </r>
  <r>
    <n v="138"/>
    <n v="112"/>
    <s v="patrimonio"/>
    <m/>
    <x v="25"/>
    <s v="3.E.1"/>
    <s v="3.E.1"/>
    <x v="25"/>
  </r>
  <r>
    <n v="139"/>
    <n v="113"/>
    <s v="patrimonio"/>
    <m/>
    <x v="25"/>
    <s v="3.E.1"/>
    <s v="3.E.1"/>
    <x v="25"/>
  </r>
  <r>
    <n v="140"/>
    <n v="114"/>
    <s v="patrimonio"/>
    <m/>
    <x v="25"/>
    <s v="3.E.1"/>
    <s v="3.E.1"/>
    <x v="25"/>
  </r>
  <r>
    <n v="141"/>
    <n v="119"/>
    <s v="patrimonio"/>
    <m/>
    <x v="25"/>
    <s v="3.E.1"/>
    <s v="3.E.1"/>
    <x v="25"/>
  </r>
  <r>
    <n v="142"/>
    <n v="108"/>
    <s v="patrimonio"/>
    <m/>
    <x v="26"/>
    <s v="3.E.1"/>
    <s v="3.E.1"/>
    <x v="26"/>
  </r>
  <r>
    <n v="143"/>
    <n v="109"/>
    <s v="patrimonio"/>
    <m/>
    <x v="26"/>
    <s v="3.E.1"/>
    <s v="3.E.1"/>
    <x v="26"/>
  </r>
  <r>
    <n v="144"/>
    <n v="120"/>
    <s v="patrimonio"/>
    <m/>
    <x v="27"/>
    <s v="3.E.1"/>
    <s v="3.E.1"/>
    <x v="27"/>
  </r>
  <r>
    <n v="145"/>
    <n v="121"/>
    <s v="patrimonio"/>
    <m/>
    <x v="27"/>
    <s v="3.E.1"/>
    <s v="3.E.1"/>
    <x v="27"/>
  </r>
  <r>
    <n v="146"/>
    <n v="118"/>
    <s v="patrimonio"/>
    <m/>
    <x v="28"/>
    <s v="3.E.1"/>
    <s v="3.E.1"/>
    <x v="28"/>
  </r>
  <r>
    <n v="147"/>
    <n v="129"/>
    <s v="patrimonio"/>
    <m/>
    <x v="29"/>
    <s v="3.E.1"/>
    <s v="3.E.1"/>
    <x v="29"/>
  </r>
  <r>
    <n v="148"/>
    <n v="557"/>
    <s v="patrimonio"/>
    <m/>
    <x v="30"/>
    <s v="3.E.1"/>
    <s v="3.E.1"/>
    <x v="30"/>
  </r>
  <r>
    <n v="149"/>
    <n v="130"/>
    <s v="patrimonio"/>
    <m/>
    <x v="3"/>
    <e v="#N/A"/>
    <s v="3.E"/>
    <x v="3"/>
  </r>
  <r>
    <n v="150"/>
    <n v="131"/>
    <s v="patrimonio"/>
    <m/>
    <x v="3"/>
    <e v="#N/A"/>
    <s v="3.E"/>
    <x v="3"/>
  </r>
  <r>
    <n v="151"/>
    <n v="132"/>
    <s v="patrimonio"/>
    <m/>
    <x v="3"/>
    <e v="#N/A"/>
    <s v="3.E"/>
    <x v="3"/>
  </r>
  <r>
    <n v="152"/>
    <n v="14"/>
    <s v="pasivo"/>
    <s v="pasivo_no_corriente"/>
    <x v="31"/>
    <s v="2.P.1"/>
    <s v="2.P.1"/>
    <x v="31"/>
  </r>
  <r>
    <n v="153"/>
    <m/>
    <s v="pasivo"/>
    <s v="pasivo_no_corriente"/>
    <x v="32"/>
    <s v="2.P.1"/>
    <s v="2.P.1"/>
    <x v="32"/>
  </r>
  <r>
    <n v="154"/>
    <n v="1605"/>
    <s v="pasivo"/>
    <s v="pasivo_no_corriente"/>
    <x v="33"/>
    <s v="2.P.1.2"/>
    <s v="2.P.1.2"/>
    <x v="33"/>
  </r>
  <r>
    <n v="155"/>
    <n v="170"/>
    <s v="pasivo"/>
    <s v="pasivo_no_corriente"/>
    <x v="33"/>
    <s v="2.P.1.2"/>
    <s v="2.P.1.2"/>
    <x v="33"/>
  </r>
  <r>
    <n v="156"/>
    <n v="1625"/>
    <s v="pasivo"/>
    <s v="pasivo_no_corriente"/>
    <x v="34"/>
    <s v="2.P.1.2"/>
    <s v="2.P.1.2"/>
    <x v="34"/>
  </r>
  <r>
    <n v="157"/>
    <n v="174"/>
    <s v="pasivo"/>
    <s v="pasivo_no_corriente"/>
    <x v="34"/>
    <s v="2.P.1.2"/>
    <s v="2.P.1.2"/>
    <x v="34"/>
  </r>
  <r>
    <n v="158"/>
    <n v="1615"/>
    <s v="pasivo"/>
    <s v="pasivo_no_corriente"/>
    <x v="35"/>
    <s v="2.P.1.2"/>
    <s v="2.P.1.2"/>
    <x v="35"/>
  </r>
  <r>
    <n v="159"/>
    <n v="1635"/>
    <s v="pasivo"/>
    <s v="pasivo_no_corriente"/>
    <x v="35"/>
    <s v="2.P.1.2"/>
    <s v="2.P.1.2"/>
    <x v="35"/>
  </r>
  <r>
    <n v="160"/>
    <n v="171"/>
    <s v="pasivo"/>
    <s v="pasivo_no_corriente"/>
    <x v="35"/>
    <s v="2.P.1.2"/>
    <s v="2.P.1.2"/>
    <x v="35"/>
  </r>
  <r>
    <n v="161"/>
    <n v="172"/>
    <s v="pasivo"/>
    <s v="pasivo_no_corriente"/>
    <x v="35"/>
    <s v="2.P.1.2"/>
    <s v="2.P.1.2"/>
    <x v="35"/>
  </r>
  <r>
    <n v="162"/>
    <n v="173"/>
    <s v="pasivo"/>
    <s v="pasivo_no_corriente"/>
    <x v="35"/>
    <s v="2.P.1.2"/>
    <s v="2.P.1.2"/>
    <x v="35"/>
  </r>
  <r>
    <n v="163"/>
    <n v="175"/>
    <s v="pasivo"/>
    <s v="pasivo_no_corriente"/>
    <x v="35"/>
    <s v="2.P.1.2"/>
    <s v="2.P.1.2"/>
    <x v="35"/>
  </r>
  <r>
    <n v="164"/>
    <n v="176"/>
    <s v="pasivo"/>
    <s v="pasivo_no_corriente"/>
    <x v="35"/>
    <s v="2.P.1.2"/>
    <s v="2.P.1.2"/>
    <x v="35"/>
  </r>
  <r>
    <n v="165"/>
    <n v="177"/>
    <s v="pasivo"/>
    <s v="pasivo_no_corriente"/>
    <x v="35"/>
    <s v="2.P.1.2"/>
    <s v="2.P.1.2"/>
    <x v="35"/>
  </r>
  <r>
    <n v="166"/>
    <n v="179"/>
    <s v="pasivo"/>
    <s v="pasivo_no_corriente"/>
    <x v="35"/>
    <s v="2.P.1.2"/>
    <s v="2.P.1.2"/>
    <x v="35"/>
  </r>
  <r>
    <n v="167"/>
    <n v="180"/>
    <s v="pasivo"/>
    <s v="pasivo_no_corriente"/>
    <x v="35"/>
    <s v="2.P.1.2"/>
    <s v="2.P.1.2"/>
    <x v="35"/>
  </r>
  <r>
    <n v="168"/>
    <n v="185"/>
    <s v="pasivo"/>
    <s v="pasivo_no_corriente"/>
    <x v="35"/>
    <s v="2.P.1.2"/>
    <s v="2.P.1.2"/>
    <x v="35"/>
  </r>
  <r>
    <n v="169"/>
    <n v="1603"/>
    <s v="pasivo"/>
    <s v="pasivo_no_corriente"/>
    <x v="36"/>
    <s v="2.P.1"/>
    <s v="2.P.1"/>
    <x v="36"/>
  </r>
  <r>
    <n v="170"/>
    <n v="1604"/>
    <s v="pasivo"/>
    <s v="pasivo_no_corriente"/>
    <x v="36"/>
    <s v="2.P.1"/>
    <s v="2.P.1"/>
    <x v="36"/>
  </r>
  <r>
    <n v="171"/>
    <n v="1613"/>
    <s v="pasivo"/>
    <s v="pasivo_no_corriente"/>
    <x v="36"/>
    <s v="2.P.1"/>
    <s v="2.P.1"/>
    <x v="36"/>
  </r>
  <r>
    <n v="172"/>
    <n v="1614"/>
    <s v="pasivo"/>
    <s v="pasivo_no_corriente"/>
    <x v="36"/>
    <s v="2.P.1"/>
    <s v="2.P.1"/>
    <x v="36"/>
  </r>
  <r>
    <n v="173"/>
    <n v="1623"/>
    <s v="pasivo"/>
    <s v="pasivo_no_corriente"/>
    <x v="36"/>
    <s v="2.P.1"/>
    <s v="2.P.1"/>
    <x v="36"/>
  </r>
  <r>
    <n v="174"/>
    <n v="1624"/>
    <s v="pasivo"/>
    <s v="pasivo_no_corriente"/>
    <x v="36"/>
    <s v="2.P.1"/>
    <s v="2.P.1"/>
    <x v="36"/>
  </r>
  <r>
    <n v="175"/>
    <n v="1633"/>
    <s v="pasivo"/>
    <s v="pasivo_no_corriente"/>
    <x v="36"/>
    <s v="2.P.1"/>
    <s v="2.P.1"/>
    <x v="36"/>
  </r>
  <r>
    <n v="176"/>
    <n v="1634"/>
    <s v="pasivo"/>
    <s v="pasivo_no_corriente"/>
    <x v="36"/>
    <s v="2.P.1"/>
    <s v="2.P.1"/>
    <x v="36"/>
  </r>
  <r>
    <n v="177"/>
    <n v="479"/>
    <s v="pasivo"/>
    <s v="pasivo_no_corriente"/>
    <x v="37"/>
    <s v="2.P.1"/>
    <s v="2.P.1"/>
    <x v="37"/>
  </r>
  <r>
    <n v="178"/>
    <n v="181"/>
    <s v="pasivo"/>
    <s v="pasivo_no_corriente"/>
    <x v="38"/>
    <s v="2.P.1"/>
    <s v="2.P.1"/>
    <x v="38"/>
  </r>
  <r>
    <n v="179"/>
    <n v="499"/>
    <s v="pasivo"/>
    <s v="pasivo_corriente"/>
    <x v="39"/>
    <s v="2.P.2"/>
    <s v="2.P.2"/>
    <x v="39"/>
  </r>
  <r>
    <n v="180"/>
    <n v="529"/>
    <s v="pasivo"/>
    <s v="pasivo_corriente"/>
    <x v="39"/>
    <s v="2.P.2"/>
    <s v="2.P.2"/>
    <x v="39"/>
  </r>
  <r>
    <n v="181"/>
    <m/>
    <s v="pasivo"/>
    <s v="pasivo_corriente"/>
    <x v="40"/>
    <s v="2.P.2"/>
    <s v="2.P.2"/>
    <x v="40"/>
  </r>
  <r>
    <n v="182"/>
    <n v="5105"/>
    <s v="pasivo"/>
    <s v="pasivo_corriente"/>
    <x v="33"/>
    <s v="2.P.2.2"/>
    <s v="2.P.2.2"/>
    <x v="41"/>
  </r>
  <r>
    <n v="183"/>
    <n v="520"/>
    <s v="pasivo"/>
    <s v="pasivo_corriente"/>
    <x v="33"/>
    <s v="2.P.2.2"/>
    <s v="2.P.2.2"/>
    <x v="41"/>
  </r>
  <r>
    <n v="184"/>
    <n v="527"/>
    <s v="pasivo"/>
    <s v="pasivo_corriente"/>
    <x v="33"/>
    <s v="2.P.2.2"/>
    <s v="2.P.2.2"/>
    <x v="41"/>
  </r>
  <r>
    <n v="185"/>
    <n v="5125"/>
    <s v="pasivo"/>
    <s v="pasivo_corriente"/>
    <x v="34"/>
    <s v="2.P.2.2"/>
    <s v="2.P.2.2"/>
    <x v="42"/>
  </r>
  <r>
    <n v="186"/>
    <n v="1034"/>
    <s v="pasivo"/>
    <s v="pasivo_corriente"/>
    <x v="41"/>
    <s v="2.P.2.2"/>
    <s v="2.P.2.2"/>
    <x v="43"/>
  </r>
  <r>
    <n v="187"/>
    <n v="1044"/>
    <s v="pasivo"/>
    <s v="pasivo_corriente"/>
    <x v="41"/>
    <s v="2.P.2.2"/>
    <s v="2.P.2.2"/>
    <x v="43"/>
  </r>
  <r>
    <n v="188"/>
    <n v="190"/>
    <s v="pasivo"/>
    <s v="pasivo_corriente"/>
    <x v="41"/>
    <s v="2.P.2.2"/>
    <s v="2.P.2.2"/>
    <x v="43"/>
  </r>
  <r>
    <n v="189"/>
    <n v="192"/>
    <s v="pasivo"/>
    <s v="pasivo_corriente"/>
    <x v="41"/>
    <s v="2.P.2.2"/>
    <s v="2.P.2.2"/>
    <x v="43"/>
  </r>
  <r>
    <n v="190"/>
    <n v="194"/>
    <s v="pasivo"/>
    <s v="pasivo_corriente"/>
    <x v="41"/>
    <s v="2.P.2.2"/>
    <s v="2.P.2.2"/>
    <x v="43"/>
  </r>
  <r>
    <n v="191"/>
    <n v="500"/>
    <s v="pasivo"/>
    <s v="pasivo_corriente"/>
    <x v="41"/>
    <s v="2.P.2.2"/>
    <s v="2.P.2.2"/>
    <x v="43"/>
  </r>
  <r>
    <n v="192"/>
    <n v="505"/>
    <s v="pasivo"/>
    <s v="pasivo_corriente"/>
    <x v="41"/>
    <s v="2.P.2.2"/>
    <s v="2.P.2.2"/>
    <x v="43"/>
  </r>
  <r>
    <n v="193"/>
    <n v="506"/>
    <s v="pasivo"/>
    <s v="pasivo_corriente"/>
    <x v="41"/>
    <s v="2.P.2.2"/>
    <s v="2.P.2.2"/>
    <x v="43"/>
  </r>
  <r>
    <n v="194"/>
    <n v="509"/>
    <s v="pasivo"/>
    <s v="pasivo_corriente"/>
    <x v="41"/>
    <s v="2.P.2.2"/>
    <s v="2.P.2.2"/>
    <x v="43"/>
  </r>
  <r>
    <n v="195"/>
    <n v="5115"/>
    <s v="pasivo"/>
    <s v="pasivo_corriente"/>
    <x v="41"/>
    <s v="2.P.2.2"/>
    <s v="2.P.2.2"/>
    <x v="43"/>
  </r>
  <r>
    <n v="196"/>
    <n v="5135"/>
    <s v="pasivo"/>
    <s v="pasivo_corriente"/>
    <x v="41"/>
    <s v="2.P.2.2"/>
    <s v="2.P.2.2"/>
    <x v="43"/>
  </r>
  <r>
    <n v="197"/>
    <n v="5145"/>
    <s v="pasivo"/>
    <s v="pasivo_corriente"/>
    <x v="41"/>
    <s v="2.P.2.2"/>
    <s v="2.P.2.2"/>
    <x v="43"/>
  </r>
  <r>
    <n v="198"/>
    <n v="521"/>
    <s v="pasivo"/>
    <s v="pasivo_corriente"/>
    <x v="41"/>
    <s v="2.P.2.2"/>
    <s v="2.P.2.2"/>
    <x v="43"/>
  </r>
  <r>
    <n v="199"/>
    <n v="522"/>
    <s v="pasivo"/>
    <s v="pasivo_corriente"/>
    <x v="41"/>
    <s v="2.P.2.2"/>
    <s v="2.P.2.2"/>
    <x v="43"/>
  </r>
  <r>
    <n v="200"/>
    <n v="523"/>
    <s v="pasivo"/>
    <s v="pasivo_corriente"/>
    <x v="41"/>
    <s v="2.P.2.2"/>
    <s v="2.P.2.2"/>
    <x v="43"/>
  </r>
  <r>
    <n v="201"/>
    <n v="525"/>
    <s v="pasivo"/>
    <s v="pasivo_corriente"/>
    <x v="41"/>
    <s v="2.P.2.2"/>
    <s v="2.P.2.2"/>
    <x v="43"/>
  </r>
  <r>
    <n v="202"/>
    <n v="526"/>
    <s v="pasivo"/>
    <s v="pasivo_corriente"/>
    <x v="41"/>
    <s v="2.P.2.2"/>
    <s v="2.P.2.2"/>
    <x v="43"/>
  </r>
  <r>
    <n v="203"/>
    <n v="528"/>
    <s v="pasivo"/>
    <s v="pasivo_corriente"/>
    <x v="41"/>
    <s v="2.P.2.2"/>
    <s v="2.P.2.2"/>
    <x v="43"/>
  </r>
  <r>
    <n v="204"/>
    <n v="551"/>
    <s v="pasivo"/>
    <s v="pasivo_corriente"/>
    <x v="41"/>
    <s v="2.P.2.2"/>
    <s v="2.P.2.2"/>
    <x v="43"/>
  </r>
  <r>
    <n v="205"/>
    <n v="5525"/>
    <s v="pasivo"/>
    <s v="pasivo_corriente"/>
    <x v="41"/>
    <s v="2.P.2.2"/>
    <s v="2.P.2.2"/>
    <x v="43"/>
  </r>
  <r>
    <n v="206"/>
    <n v="555"/>
    <s v="pasivo"/>
    <s v="pasivo_corriente"/>
    <x v="41"/>
    <s v="2.P.2.2"/>
    <s v="2.P.2.2"/>
    <x v="43"/>
  </r>
  <r>
    <n v="207"/>
    <n v="5565"/>
    <s v="pasivo"/>
    <s v="pasivo_corriente"/>
    <x v="41"/>
    <s v="2.P.2.2"/>
    <s v="2.P.2.2"/>
    <x v="43"/>
  </r>
  <r>
    <n v="208"/>
    <n v="5566"/>
    <s v="pasivo"/>
    <s v="pasivo_corriente"/>
    <x v="41"/>
    <s v="2.P.2.2"/>
    <s v="2.P.2.2"/>
    <x v="43"/>
  </r>
  <r>
    <n v="209"/>
    <n v="5595"/>
    <s v="pasivo"/>
    <s v="pasivo_corriente"/>
    <x v="41"/>
    <s v="2.P.2.2"/>
    <s v="2.P.2.2"/>
    <x v="43"/>
  </r>
  <r>
    <n v="210"/>
    <n v="560"/>
    <s v="pasivo"/>
    <s v="pasivo_corriente"/>
    <x v="41"/>
    <s v="2.P.2.2"/>
    <s v="2.P.2.2"/>
    <x v="43"/>
  </r>
  <r>
    <n v="211"/>
    <n v="561"/>
    <s v="pasivo"/>
    <s v="pasivo_corriente"/>
    <x v="41"/>
    <s v="2.P.2.2"/>
    <s v="2.P.2.2"/>
    <x v="43"/>
  </r>
  <r>
    <n v="212"/>
    <n v="5103"/>
    <s v="pasivo"/>
    <s v="pasivo_corriente"/>
    <x v="42"/>
    <s v="2.P.2"/>
    <s v="2.P.2"/>
    <x v="44"/>
  </r>
  <r>
    <n v="213"/>
    <n v="5104"/>
    <s v="pasivo"/>
    <s v="pasivo_corriente"/>
    <x v="42"/>
    <s v="2.P.2"/>
    <s v="2.P.2"/>
    <x v="44"/>
  </r>
  <r>
    <n v="214"/>
    <n v="5113"/>
    <s v="pasivo"/>
    <s v="pasivo_corriente"/>
    <x v="42"/>
    <s v="2.P.2"/>
    <s v="2.P.2"/>
    <x v="44"/>
  </r>
  <r>
    <n v="215"/>
    <n v="5114"/>
    <s v="pasivo"/>
    <s v="pasivo_corriente"/>
    <x v="42"/>
    <s v="2.P.2"/>
    <s v="2.P.2"/>
    <x v="44"/>
  </r>
  <r>
    <n v="216"/>
    <n v="5123"/>
    <s v="pasivo"/>
    <s v="pasivo_corriente"/>
    <x v="42"/>
    <s v="2.P.2"/>
    <s v="2.P.2"/>
    <x v="44"/>
  </r>
  <r>
    <n v="217"/>
    <n v="5124"/>
    <s v="pasivo"/>
    <s v="pasivo_corriente"/>
    <x v="42"/>
    <s v="2.P.2"/>
    <s v="2.P.2"/>
    <x v="44"/>
  </r>
  <r>
    <n v="218"/>
    <n v="5133"/>
    <s v="pasivo"/>
    <s v="pasivo_corriente"/>
    <x v="42"/>
    <s v="2.P.2"/>
    <s v="2.P.2"/>
    <x v="44"/>
  </r>
  <r>
    <n v="219"/>
    <n v="5134"/>
    <s v="pasivo"/>
    <s v="pasivo_corriente"/>
    <x v="42"/>
    <s v="2.P.2"/>
    <s v="2.P.2"/>
    <x v="44"/>
  </r>
  <r>
    <n v="220"/>
    <n v="5143"/>
    <s v="pasivo"/>
    <s v="pasivo_corriente"/>
    <x v="42"/>
    <s v="2.P.2"/>
    <s v="2.P.2"/>
    <x v="44"/>
  </r>
  <r>
    <n v="221"/>
    <n v="5144"/>
    <s v="pasivo"/>
    <s v="pasivo_corriente"/>
    <x v="42"/>
    <s v="2.P.2"/>
    <s v="2.P.2"/>
    <x v="44"/>
  </r>
  <r>
    <n v="222"/>
    <n v="5523"/>
    <s v="pasivo"/>
    <s v="pasivo_corriente"/>
    <x v="42"/>
    <s v="2.P.2"/>
    <s v="2.P.2"/>
    <x v="44"/>
  </r>
  <r>
    <n v="223"/>
    <n v="5524"/>
    <s v="pasivo"/>
    <s v="pasivo_corriente"/>
    <x v="42"/>
    <s v="2.P.2"/>
    <s v="2.P.2"/>
    <x v="44"/>
  </r>
  <r>
    <n v="224"/>
    <n v="5563"/>
    <s v="pasivo"/>
    <s v="pasivo_corriente"/>
    <x v="42"/>
    <s v="2.P.2"/>
    <s v="2.P.2"/>
    <x v="44"/>
  </r>
  <r>
    <n v="225"/>
    <n v="5564"/>
    <s v="pasivo"/>
    <s v="pasivo_corriente"/>
    <x v="42"/>
    <s v="2.P.2"/>
    <s v="2.P.2"/>
    <x v="44"/>
  </r>
  <r>
    <n v="226"/>
    <m/>
    <s v="pasivo"/>
    <s v="pasivo_corriente"/>
    <x v="43"/>
    <s v="2.P.2"/>
    <s v="2.P.2"/>
    <x v="45"/>
  </r>
  <r>
    <n v="227"/>
    <n v="400"/>
    <s v="pasivo"/>
    <s v="pasivo_corriente"/>
    <x v="44"/>
    <s v="2.P.2.4"/>
    <s v="2.P.2.4"/>
    <x v="46"/>
  </r>
  <r>
    <n v="228"/>
    <n v="401"/>
    <s v="pasivo"/>
    <s v="pasivo_corriente"/>
    <x v="44"/>
    <s v="2.P.2.4"/>
    <s v="2.P.2.4"/>
    <x v="46"/>
  </r>
  <r>
    <n v="229"/>
    <n v="403"/>
    <s v="pasivo"/>
    <s v="pasivo_corriente"/>
    <x v="44"/>
    <s v="2.P.2.4"/>
    <s v="2.P.2.4"/>
    <x v="46"/>
  </r>
  <r>
    <n v="230"/>
    <n v="404"/>
    <s v="pasivo"/>
    <s v="pasivo_corriente"/>
    <x v="44"/>
    <s v="2.P.2.4"/>
    <s v="2.P.2.4"/>
    <x v="46"/>
  </r>
  <r>
    <n v="231"/>
    <n v="405"/>
    <s v="pasivo"/>
    <s v="pasivo_corriente"/>
    <x v="44"/>
    <s v="2.P.2.4"/>
    <s v="2.P.2.4"/>
    <x v="46"/>
  </r>
  <r>
    <n v="232"/>
    <n v="406"/>
    <s v="pasivo"/>
    <s v="pasivo_corriente"/>
    <x v="44"/>
    <s v="2.P.2.4"/>
    <s v="2.P.2.4"/>
    <x v="46"/>
  </r>
  <r>
    <n v="233"/>
    <n v="41"/>
    <s v="pasivo"/>
    <s v="pasivo_corriente"/>
    <x v="45"/>
    <s v="2.P.2.4"/>
    <s v="2.P.2.4"/>
    <x v="47"/>
  </r>
  <r>
    <n v="234"/>
    <n v="438"/>
    <s v="pasivo"/>
    <s v="pasivo_corriente"/>
    <x v="45"/>
    <s v="2.P.2.4"/>
    <s v="2.P.2.4"/>
    <x v="47"/>
  </r>
  <r>
    <n v="235"/>
    <n v="465"/>
    <s v="pasivo"/>
    <s v="pasivo_corriente"/>
    <x v="45"/>
    <s v="2.P.2.4"/>
    <s v="2.P.2.4"/>
    <x v="47"/>
  </r>
  <r>
    <n v="236"/>
    <n v="475"/>
    <s v="pasivo"/>
    <s v="pasivo_corriente"/>
    <x v="45"/>
    <s v="2.P.2.4"/>
    <s v="2.P.2.4"/>
    <x v="47"/>
  </r>
  <r>
    <n v="237"/>
    <n v="476"/>
    <s v="pasivo"/>
    <s v="pasivo_corriente"/>
    <x v="45"/>
    <s v="2.P.2.4"/>
    <s v="2.P.2.4"/>
    <x v="47"/>
  </r>
  <r>
    <n v="238"/>
    <n v="477"/>
    <s v="pasivo"/>
    <s v="pasivo_corriente"/>
    <x v="45"/>
    <s v="2.P.2.4"/>
    <s v="2.P.2.4"/>
    <x v="47"/>
  </r>
  <r>
    <n v="239"/>
    <n v="485"/>
    <s v="pasivo"/>
    <s v="pasivo_corriente"/>
    <x v="19"/>
    <s v="2.P.2"/>
    <s v="2.P.2"/>
    <x v="48"/>
  </r>
  <r>
    <n v="240"/>
    <n v="568"/>
    <s v="pasivo"/>
    <s v="pasivo_corriente"/>
    <x v="19"/>
    <s v="2.P.2"/>
    <s v="2.P.2"/>
    <x v="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5087D2-C8A8-433B-9F90-3B4A00895EF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M3:T54" firstHeaderRow="2" firstDataRow="2" firstDataCol="2"/>
  <pivotFields count="8"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7">
        <item x="26"/>
        <item x="15"/>
        <item x="43"/>
        <item x="34"/>
        <item x="11"/>
        <item x="22"/>
        <item x="23"/>
        <item x="14"/>
        <item x="40"/>
        <item x="32"/>
        <item x="42"/>
        <item x="33"/>
        <item x="13"/>
        <item x="30"/>
        <item x="20"/>
        <item x="12"/>
        <item x="2"/>
        <item x="6"/>
        <item x="7"/>
        <item x="17"/>
        <item x="9"/>
        <item x="18"/>
        <item x="10"/>
        <item x="8"/>
        <item x="28"/>
        <item x="41"/>
        <item x="35"/>
        <item x="45"/>
        <item x="16"/>
        <item x="37"/>
        <item x="19"/>
        <item x="38"/>
        <item x="24"/>
        <item x="44"/>
        <item x="39"/>
        <item x="31"/>
        <item x="25"/>
        <item x="27"/>
        <item x="29"/>
        <item x="3"/>
        <item x="21"/>
        <item x="0"/>
        <item x="1"/>
        <item x="4"/>
        <item x="5"/>
        <item x="36"/>
        <item t="default"/>
      </items>
    </pivotField>
    <pivotField compact="0" outline="0" showAll="0"/>
    <pivotField compact="0" outline="0" showAll="0"/>
    <pivotField axis="axisRow" compact="0" outline="0" showAll="0" sortType="ascending" defaultSubtotal="0">
      <items count="51">
        <item x="0"/>
        <item x="6"/>
        <item x="7"/>
        <item x="8"/>
        <item x="9"/>
        <item x="10"/>
        <item x="11"/>
        <item x="1"/>
        <item x="12"/>
        <item x="13"/>
        <item x="14"/>
        <item x="15"/>
        <item x="16"/>
        <item x="17"/>
        <item x="18"/>
        <item x="19"/>
        <item x="20"/>
        <item x="4"/>
        <item x="31"/>
        <item x="32"/>
        <item x="33"/>
        <item x="34"/>
        <item x="35"/>
        <item m="1" x="49"/>
        <item m="1" x="50"/>
        <item x="36"/>
        <item x="37"/>
        <item x="38"/>
        <item x="5"/>
        <item x="39"/>
        <item x="40"/>
        <item x="41"/>
        <item x="42"/>
        <item x="43"/>
        <item x="44"/>
        <item x="45"/>
        <item x="46"/>
        <item x="47"/>
        <item x="48"/>
        <item x="2"/>
        <item x="21"/>
        <item x="22"/>
        <item x="23"/>
        <item x="24"/>
        <item x="25"/>
        <item x="26"/>
        <item x="27"/>
        <item x="28"/>
        <item x="29"/>
        <item x="30"/>
        <item x="3"/>
      </items>
    </pivotField>
  </pivotFields>
  <rowFields count="2">
    <field x="7"/>
    <field x="4"/>
  </rowFields>
  <rowItems count="50">
    <i>
      <x/>
      <x v="41"/>
    </i>
    <i>
      <x v="1"/>
      <x v="17"/>
    </i>
    <i>
      <x v="2"/>
      <x v="18"/>
    </i>
    <i>
      <x v="3"/>
      <x v="23"/>
    </i>
    <i>
      <x v="4"/>
      <x v="20"/>
    </i>
    <i>
      <x v="5"/>
      <x v="22"/>
    </i>
    <i>
      <x v="6"/>
      <x v="4"/>
    </i>
    <i>
      <x v="7"/>
      <x v="42"/>
    </i>
    <i>
      <x v="8"/>
      <x v="15"/>
    </i>
    <i>
      <x v="9"/>
      <x v="12"/>
    </i>
    <i>
      <x v="10"/>
      <x v="7"/>
    </i>
    <i>
      <x v="11"/>
      <x v="1"/>
    </i>
    <i>
      <x v="12"/>
      <x v="28"/>
    </i>
    <i>
      <x v="13"/>
      <x v="19"/>
    </i>
    <i>
      <x v="14"/>
      <x v="21"/>
    </i>
    <i>
      <x v="15"/>
      <x v="30"/>
    </i>
    <i>
      <x v="16"/>
      <x v="14"/>
    </i>
    <i>
      <x v="17"/>
      <x v="43"/>
    </i>
    <i>
      <x v="18"/>
      <x v="35"/>
    </i>
    <i>
      <x v="19"/>
      <x v="9"/>
    </i>
    <i>
      <x v="20"/>
      <x v="11"/>
    </i>
    <i>
      <x v="21"/>
      <x v="3"/>
    </i>
    <i>
      <x v="22"/>
      <x v="26"/>
    </i>
    <i>
      <x v="25"/>
      <x v="45"/>
    </i>
    <i>
      <x v="26"/>
      <x v="29"/>
    </i>
    <i>
      <x v="27"/>
      <x v="31"/>
    </i>
    <i>
      <x v="28"/>
      <x v="44"/>
    </i>
    <i>
      <x v="29"/>
      <x v="34"/>
    </i>
    <i>
      <x v="30"/>
      <x v="8"/>
    </i>
    <i>
      <x v="31"/>
      <x v="11"/>
    </i>
    <i>
      <x v="32"/>
      <x v="3"/>
    </i>
    <i>
      <x v="33"/>
      <x v="25"/>
    </i>
    <i>
      <x v="34"/>
      <x v="10"/>
    </i>
    <i>
      <x v="35"/>
      <x v="2"/>
    </i>
    <i>
      <x v="36"/>
      <x v="33"/>
    </i>
    <i>
      <x v="37"/>
      <x v="27"/>
    </i>
    <i>
      <x v="38"/>
      <x v="30"/>
    </i>
    <i>
      <x v="39"/>
      <x v="16"/>
    </i>
    <i>
      <x v="40"/>
      <x v="40"/>
    </i>
    <i>
      <x v="41"/>
      <x v="5"/>
    </i>
    <i>
      <x v="42"/>
      <x v="6"/>
    </i>
    <i>
      <x v="43"/>
      <x v="32"/>
    </i>
    <i>
      <x v="44"/>
      <x v="36"/>
    </i>
    <i>
      <x v="45"/>
      <x/>
    </i>
    <i>
      <x v="46"/>
      <x v="37"/>
    </i>
    <i>
      <x v="47"/>
      <x v="24"/>
    </i>
    <i>
      <x v="48"/>
      <x v="38"/>
    </i>
    <i>
      <x v="49"/>
      <x v="13"/>
    </i>
    <i>
      <x v="50"/>
      <x v="39"/>
    </i>
    <i t="grand">
      <x/>
    </i>
  </rowItems>
  <colItems count="1">
    <i/>
  </colItem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3E251-DBDC-4D57-8B6F-B7B4EB41BB21}">
  <dimension ref="A1:H739"/>
  <sheetViews>
    <sheetView tabSelected="1" zoomScale="85" zoomScaleNormal="85" workbookViewId="0">
      <pane ySplit="1" topLeftCell="A307" activePane="bottomLeft" state="frozen"/>
      <selection pane="bottomLeft" activeCell="F327" sqref="F327"/>
    </sheetView>
  </sheetViews>
  <sheetFormatPr defaultRowHeight="15.75" x14ac:dyDescent="0.25"/>
  <cols>
    <col min="1" max="1" width="45.75" customWidth="1"/>
    <col min="2" max="2" width="38.5" customWidth="1"/>
    <col min="3" max="3" width="14.25" customWidth="1"/>
    <col min="6" max="6" width="20.375" customWidth="1"/>
  </cols>
  <sheetData>
    <row r="1" spans="1:8" s="4" customFormat="1" ht="47.25" x14ac:dyDescent="0.25">
      <c r="A1" s="4" t="s">
        <v>1570</v>
      </c>
      <c r="B1" s="4" t="s">
        <v>1571</v>
      </c>
      <c r="C1" s="4" t="s">
        <v>1572</v>
      </c>
      <c r="D1" s="4" t="s">
        <v>1573</v>
      </c>
      <c r="E1" s="4" t="s">
        <v>5</v>
      </c>
      <c r="F1" s="4" t="s">
        <v>1574</v>
      </c>
      <c r="G1" s="4" t="s">
        <v>1575</v>
      </c>
      <c r="H1" s="4" t="s">
        <v>1576</v>
      </c>
    </row>
    <row r="2" spans="1:8" x14ac:dyDescent="0.25">
      <c r="A2" t="s">
        <v>2255</v>
      </c>
      <c r="C2" t="s">
        <v>2264</v>
      </c>
      <c r="E2">
        <v>1</v>
      </c>
      <c r="G2" t="s">
        <v>1578</v>
      </c>
      <c r="H2" t="s">
        <v>1579</v>
      </c>
    </row>
    <row r="3" spans="1:8" x14ac:dyDescent="0.25">
      <c r="A3" t="s">
        <v>2256</v>
      </c>
      <c r="C3" t="s">
        <v>2265</v>
      </c>
      <c r="E3">
        <v>1</v>
      </c>
      <c r="G3" t="s">
        <v>1581</v>
      </c>
      <c r="H3" t="s">
        <v>1579</v>
      </c>
    </row>
    <row r="4" spans="1:8" x14ac:dyDescent="0.25">
      <c r="A4" t="s">
        <v>2257</v>
      </c>
      <c r="C4" t="s">
        <v>2266</v>
      </c>
      <c r="E4">
        <v>1</v>
      </c>
      <c r="G4" t="s">
        <v>1582</v>
      </c>
      <c r="H4" t="s">
        <v>1579</v>
      </c>
    </row>
    <row r="5" spans="1:8" x14ac:dyDescent="0.25">
      <c r="A5" t="s">
        <v>2258</v>
      </c>
      <c r="C5" t="s">
        <v>2268</v>
      </c>
      <c r="E5">
        <v>1</v>
      </c>
      <c r="G5" t="s">
        <v>1585</v>
      </c>
      <c r="H5" t="s">
        <v>1579</v>
      </c>
    </row>
    <row r="6" spans="1:8" x14ac:dyDescent="0.25">
      <c r="A6" t="s">
        <v>2259</v>
      </c>
      <c r="C6" t="s">
        <v>2267</v>
      </c>
      <c r="E6">
        <v>1</v>
      </c>
      <c r="G6" t="s">
        <v>1586</v>
      </c>
      <c r="H6" t="s">
        <v>1579</v>
      </c>
    </row>
    <row r="7" spans="1:8" x14ac:dyDescent="0.25">
      <c r="A7" t="s">
        <v>0</v>
      </c>
      <c r="B7" t="str">
        <f>VLOOKUP(D7,pgc_pyme!J:M,4,FALSE)</f>
        <v>ACTIVOS</v>
      </c>
      <c r="C7" t="s">
        <v>2572</v>
      </c>
      <c r="D7" t="s">
        <v>2264</v>
      </c>
      <c r="E7">
        <v>1</v>
      </c>
      <c r="G7" t="s">
        <v>1578</v>
      </c>
      <c r="H7" t="s">
        <v>1579</v>
      </c>
    </row>
    <row r="8" spans="1:8" x14ac:dyDescent="0.25">
      <c r="A8" t="s">
        <v>2579</v>
      </c>
      <c r="B8" t="str">
        <f>VLOOKUP(D8,pgc_pyme!J:M,4,FALSE)</f>
        <v>ACTIVO NO CORRIENTE</v>
      </c>
      <c r="C8" t="s">
        <v>2582</v>
      </c>
      <c r="D8" t="s">
        <v>2572</v>
      </c>
      <c r="E8">
        <v>1</v>
      </c>
      <c r="G8" t="s">
        <v>1578</v>
      </c>
      <c r="H8" t="s">
        <v>1579</v>
      </c>
    </row>
    <row r="9" spans="1:8" x14ac:dyDescent="0.25">
      <c r="A9" t="s">
        <v>2580</v>
      </c>
      <c r="B9" t="str">
        <f>VLOOKUP(D9,pgc_pyme!J:M,4,FALSE)</f>
        <v>ACTIVO NO CORRIENTE</v>
      </c>
      <c r="C9" t="s">
        <v>2654</v>
      </c>
      <c r="D9" t="s">
        <v>2572</v>
      </c>
      <c r="E9">
        <v>1</v>
      </c>
      <c r="F9" t="s">
        <v>1600</v>
      </c>
      <c r="G9" t="s">
        <v>1578</v>
      </c>
      <c r="H9" t="s">
        <v>1579</v>
      </c>
    </row>
    <row r="10" spans="1:8" x14ac:dyDescent="0.25">
      <c r="A10" t="s">
        <v>2581</v>
      </c>
      <c r="B10" t="str">
        <f>VLOOKUP(D10,pgc_pyme!J:M,4,FALSE)</f>
        <v>ACTIVO NO CORRIENTE</v>
      </c>
      <c r="C10" t="s">
        <v>2655</v>
      </c>
      <c r="D10" t="s">
        <v>2572</v>
      </c>
      <c r="E10">
        <v>1</v>
      </c>
      <c r="G10" t="s">
        <v>1578</v>
      </c>
      <c r="H10" t="s">
        <v>1579</v>
      </c>
    </row>
    <row r="11" spans="1:8" x14ac:dyDescent="0.25">
      <c r="A11" t="s">
        <v>2583</v>
      </c>
      <c r="B11" t="str">
        <f>VLOOKUP(D11,pgc_pyme!J:M,4,FALSE)</f>
        <v>ACTIVO NO CORRIENTE</v>
      </c>
      <c r="C11" t="s">
        <v>2656</v>
      </c>
      <c r="D11" t="s">
        <v>2572</v>
      </c>
      <c r="E11">
        <v>1</v>
      </c>
      <c r="G11" t="s">
        <v>1578</v>
      </c>
      <c r="H11" t="s">
        <v>1579</v>
      </c>
    </row>
    <row r="12" spans="1:8" x14ac:dyDescent="0.25">
      <c r="A12" t="s">
        <v>2584</v>
      </c>
      <c r="B12" t="str">
        <f>VLOOKUP(D12,pgc_pyme!J:M,4,FALSE)</f>
        <v>ACTIVO NO CORRIENTE</v>
      </c>
      <c r="C12" t="s">
        <v>2657</v>
      </c>
      <c r="D12" t="s">
        <v>2572</v>
      </c>
      <c r="E12">
        <v>1</v>
      </c>
      <c r="G12" t="s">
        <v>1578</v>
      </c>
      <c r="H12" t="s">
        <v>1579</v>
      </c>
    </row>
    <row r="13" spans="1:8" x14ac:dyDescent="0.25">
      <c r="A13" t="s">
        <v>1851</v>
      </c>
      <c r="B13" t="str">
        <f>VLOOKUP(D13,pgc_pyme!J:M,4,FALSE)</f>
        <v>ACTIVO NO CORRIENTE</v>
      </c>
      <c r="C13" t="s">
        <v>2658</v>
      </c>
      <c r="D13" t="s">
        <v>2572</v>
      </c>
      <c r="E13">
        <v>1</v>
      </c>
      <c r="G13" t="s">
        <v>1578</v>
      </c>
      <c r="H13" t="s">
        <v>1579</v>
      </c>
    </row>
    <row r="14" spans="1:8" x14ac:dyDescent="0.25">
      <c r="A14" t="s">
        <v>2662</v>
      </c>
      <c r="B14" t="str">
        <f>VLOOKUP(D14,pgc_pyme!J:M,4,FALSE)</f>
        <v>ACTIVOS</v>
      </c>
      <c r="C14" t="s">
        <v>2271</v>
      </c>
      <c r="D14" t="s">
        <v>2264</v>
      </c>
      <c r="E14">
        <v>1</v>
      </c>
      <c r="G14" t="s">
        <v>1578</v>
      </c>
      <c r="H14" t="s">
        <v>1579</v>
      </c>
    </row>
    <row r="15" spans="1:8" x14ac:dyDescent="0.25">
      <c r="A15" t="s">
        <v>2586</v>
      </c>
      <c r="B15" t="str">
        <f>VLOOKUP(D15,pgc_pyme!J:M,4,FALSE)</f>
        <v>ACTIVO CORRIENTE</v>
      </c>
      <c r="C15" t="s">
        <v>2587</v>
      </c>
      <c r="D15" t="s">
        <v>2271</v>
      </c>
      <c r="E15">
        <v>1</v>
      </c>
      <c r="G15" t="s">
        <v>1578</v>
      </c>
      <c r="H15" t="s">
        <v>1579</v>
      </c>
    </row>
    <row r="16" spans="1:8" x14ac:dyDescent="0.25">
      <c r="A16" t="s">
        <v>2588</v>
      </c>
      <c r="B16" t="str">
        <f>VLOOKUP(D16,pgc_pyme!J:M,4,FALSE)</f>
        <v>ACTIVO CORRIENTE</v>
      </c>
      <c r="C16" t="s">
        <v>2589</v>
      </c>
      <c r="D16" t="s">
        <v>2271</v>
      </c>
      <c r="E16">
        <v>1</v>
      </c>
      <c r="G16" t="s">
        <v>1578</v>
      </c>
      <c r="H16" t="s">
        <v>1579</v>
      </c>
    </row>
    <row r="17" spans="1:8" x14ac:dyDescent="0.25">
      <c r="A17" t="s">
        <v>2590</v>
      </c>
      <c r="B17" t="str">
        <f>VLOOKUP(D17,pgc_pyme!J:M,4,FALSE)</f>
        <v>Deudores comerciales y otras cuentas a cobrar</v>
      </c>
      <c r="C17" t="s">
        <v>2591</v>
      </c>
      <c r="D17" t="s">
        <v>2589</v>
      </c>
      <c r="E17">
        <v>1</v>
      </c>
      <c r="G17" t="s">
        <v>1578</v>
      </c>
      <c r="H17" t="s">
        <v>1579</v>
      </c>
    </row>
    <row r="18" spans="1:8" x14ac:dyDescent="0.25">
      <c r="A18" t="s">
        <v>2592</v>
      </c>
      <c r="B18" t="str">
        <f>VLOOKUP(D18,pgc_pyme!J:M,4,FALSE)</f>
        <v>Deudores comerciales y otras cuentas a cobrar</v>
      </c>
      <c r="C18" t="s">
        <v>2593</v>
      </c>
      <c r="D18" t="s">
        <v>2589</v>
      </c>
      <c r="E18">
        <v>1</v>
      </c>
      <c r="G18" t="s">
        <v>1578</v>
      </c>
      <c r="H18" t="s">
        <v>1579</v>
      </c>
    </row>
    <row r="19" spans="1:8" x14ac:dyDescent="0.25">
      <c r="A19" t="s">
        <v>2594</v>
      </c>
      <c r="B19" t="str">
        <f>VLOOKUP(D19,pgc_pyme!J:M,4,FALSE)</f>
        <v>Deudores comerciales y otras cuentas a cobrar</v>
      </c>
      <c r="C19" t="s">
        <v>2595</v>
      </c>
      <c r="D19" t="s">
        <v>2589</v>
      </c>
      <c r="E19">
        <v>1</v>
      </c>
      <c r="G19" t="s">
        <v>1578</v>
      </c>
      <c r="H19" t="s">
        <v>1579</v>
      </c>
    </row>
    <row r="20" spans="1:8" x14ac:dyDescent="0.25">
      <c r="A20" t="s">
        <v>2596</v>
      </c>
      <c r="B20" t="str">
        <f>VLOOKUP(D20,pgc_pyme!J:M,4,FALSE)</f>
        <v>ACTIVO CORRIENTE</v>
      </c>
      <c r="C20" t="s">
        <v>2597</v>
      </c>
      <c r="D20" t="s">
        <v>2271</v>
      </c>
      <c r="E20">
        <v>1</v>
      </c>
      <c r="G20" t="s">
        <v>1578</v>
      </c>
      <c r="H20" t="s">
        <v>1579</v>
      </c>
    </row>
    <row r="21" spans="1:8" x14ac:dyDescent="0.25">
      <c r="A21" t="s">
        <v>2599</v>
      </c>
      <c r="B21" t="str">
        <f>VLOOKUP(D21,pgc_pyme!J:M,4,FALSE)</f>
        <v>ACTIVO CORRIENTE</v>
      </c>
      <c r="C21" t="s">
        <v>2598</v>
      </c>
      <c r="D21" t="s">
        <v>2271</v>
      </c>
      <c r="E21">
        <v>1</v>
      </c>
      <c r="G21" t="s">
        <v>1578</v>
      </c>
      <c r="H21" t="s">
        <v>1579</v>
      </c>
    </row>
    <row r="22" spans="1:8" x14ac:dyDescent="0.25">
      <c r="A22" t="s">
        <v>2601</v>
      </c>
      <c r="B22" t="str">
        <f>VLOOKUP(D22,pgc_pyme!J:M,4,FALSE)</f>
        <v>ACTIVO CORRIENTE</v>
      </c>
      <c r="C22" t="s">
        <v>2600</v>
      </c>
      <c r="D22" t="s">
        <v>2271</v>
      </c>
      <c r="E22">
        <v>1</v>
      </c>
      <c r="G22" t="s">
        <v>1578</v>
      </c>
      <c r="H22" t="s">
        <v>1579</v>
      </c>
    </row>
    <row r="23" spans="1:8" x14ac:dyDescent="0.25">
      <c r="A23" t="s">
        <v>2602</v>
      </c>
      <c r="B23" t="str">
        <f>VLOOKUP(D23,pgc_pyme!J:M,4,FALSE)</f>
        <v>ACTIVO CORRIENTE</v>
      </c>
      <c r="C23" t="s">
        <v>2603</v>
      </c>
      <c r="D23" t="s">
        <v>2271</v>
      </c>
      <c r="E23">
        <v>1</v>
      </c>
      <c r="G23" t="s">
        <v>1578</v>
      </c>
      <c r="H23" t="s">
        <v>1579</v>
      </c>
    </row>
    <row r="24" spans="1:8" x14ac:dyDescent="0.25">
      <c r="A24" t="s">
        <v>2665</v>
      </c>
      <c r="B24" t="str">
        <f>VLOOKUP(D24,pgc_pyme!J:M,4,FALSE)</f>
        <v>PASIVOS</v>
      </c>
      <c r="C24" t="s">
        <v>2270</v>
      </c>
      <c r="D24" t="s">
        <v>2265</v>
      </c>
      <c r="E24">
        <v>1</v>
      </c>
      <c r="G24" t="s">
        <v>1581</v>
      </c>
      <c r="H24" t="s">
        <v>1579</v>
      </c>
    </row>
    <row r="25" spans="1:8" x14ac:dyDescent="0.25">
      <c r="A25" t="s">
        <v>2626</v>
      </c>
      <c r="B25" t="str">
        <f>VLOOKUP(D25,pgc_pyme!J:M,4,FALSE)</f>
        <v>PASIVO NO CORRIENTE</v>
      </c>
      <c r="C25" t="s">
        <v>2627</v>
      </c>
      <c r="D25" t="s">
        <v>2270</v>
      </c>
      <c r="E25">
        <v>1</v>
      </c>
      <c r="G25" t="s">
        <v>1581</v>
      </c>
      <c r="H25" t="s">
        <v>1579</v>
      </c>
    </row>
    <row r="26" spans="1:8" x14ac:dyDescent="0.25">
      <c r="A26" t="s">
        <v>1651</v>
      </c>
      <c r="B26" t="str">
        <f>VLOOKUP(D26,pgc_pyme!J:M,4,FALSE)</f>
        <v>PASIVO NO CORRIENTE</v>
      </c>
      <c r="C26" t="s">
        <v>2629</v>
      </c>
      <c r="D26" t="s">
        <v>2270</v>
      </c>
      <c r="E26">
        <v>1</v>
      </c>
      <c r="G26" t="s">
        <v>1581</v>
      </c>
      <c r="H26" t="s">
        <v>1579</v>
      </c>
    </row>
    <row r="27" spans="1:8" x14ac:dyDescent="0.25">
      <c r="A27" t="s">
        <v>2628</v>
      </c>
      <c r="B27" t="str">
        <f>VLOOKUP(D27,pgc_pyme!J:M,4,FALSE)</f>
        <v>Deudas a largo plazo</v>
      </c>
      <c r="C27" t="s">
        <v>2630</v>
      </c>
      <c r="D27" t="s">
        <v>2629</v>
      </c>
      <c r="E27">
        <v>1</v>
      </c>
      <c r="G27" t="s">
        <v>1581</v>
      </c>
      <c r="H27" t="s">
        <v>1579</v>
      </c>
    </row>
    <row r="28" spans="1:8" x14ac:dyDescent="0.25">
      <c r="A28" t="s">
        <v>2631</v>
      </c>
      <c r="B28" t="str">
        <f>VLOOKUP(D28,pgc_pyme!J:M,4,FALSE)</f>
        <v>Deudas a largo plazo</v>
      </c>
      <c r="C28" t="s">
        <v>2632</v>
      </c>
      <c r="D28" t="s">
        <v>2629</v>
      </c>
      <c r="E28">
        <v>1</v>
      </c>
      <c r="G28" t="s">
        <v>1581</v>
      </c>
      <c r="H28" t="s">
        <v>1579</v>
      </c>
    </row>
    <row r="29" spans="1:8" x14ac:dyDescent="0.25">
      <c r="A29" t="s">
        <v>2633</v>
      </c>
      <c r="B29" t="str">
        <f>VLOOKUP(D29,pgc_pyme!J:M,4,FALSE)</f>
        <v>Deudas a largo plazo</v>
      </c>
      <c r="C29" t="s">
        <v>2634</v>
      </c>
      <c r="D29" t="s">
        <v>2629</v>
      </c>
      <c r="E29">
        <v>1</v>
      </c>
      <c r="G29" t="s">
        <v>1581</v>
      </c>
      <c r="H29" t="s">
        <v>1579</v>
      </c>
    </row>
    <row r="30" spans="1:8" x14ac:dyDescent="0.25">
      <c r="A30" t="s">
        <v>2668</v>
      </c>
      <c r="B30" t="str">
        <f>VLOOKUP(D30,pgc_pyme!J:M,4,FALSE)</f>
        <v>PASIVO NO CORRIENTE</v>
      </c>
      <c r="C30" t="s">
        <v>2669</v>
      </c>
      <c r="D30" t="s">
        <v>2270</v>
      </c>
      <c r="E30">
        <v>1</v>
      </c>
      <c r="G30" t="s">
        <v>1581</v>
      </c>
      <c r="H30" t="s">
        <v>1579</v>
      </c>
    </row>
    <row r="31" spans="1:8" x14ac:dyDescent="0.25">
      <c r="A31" t="s">
        <v>2635</v>
      </c>
      <c r="B31" t="str">
        <f>VLOOKUP(D31,pgc_pyme!J:M,4,FALSE)</f>
        <v>PASIVO NO CORRIENTE</v>
      </c>
      <c r="C31" t="s">
        <v>2670</v>
      </c>
      <c r="D31" t="s">
        <v>2270</v>
      </c>
      <c r="E31">
        <v>1</v>
      </c>
      <c r="G31" t="s">
        <v>1581</v>
      </c>
      <c r="H31" t="s">
        <v>1579</v>
      </c>
    </row>
    <row r="32" spans="1:8" x14ac:dyDescent="0.25">
      <c r="A32" t="s">
        <v>2636</v>
      </c>
      <c r="B32" t="str">
        <f>VLOOKUP(D32,pgc_pyme!J:M,4,FALSE)</f>
        <v>PASIVO NO CORRIENTE</v>
      </c>
      <c r="C32" t="s">
        <v>2671</v>
      </c>
      <c r="D32" t="s">
        <v>2270</v>
      </c>
      <c r="E32">
        <v>1</v>
      </c>
      <c r="G32" t="s">
        <v>1581</v>
      </c>
      <c r="H32" t="s">
        <v>1579</v>
      </c>
    </row>
    <row r="33" spans="1:8" x14ac:dyDescent="0.25">
      <c r="A33" t="s">
        <v>2666</v>
      </c>
      <c r="B33" t="str">
        <f>VLOOKUP(D33,pgc_pyme!J:M,4,FALSE)</f>
        <v>PASIVOS</v>
      </c>
      <c r="C33" t="s">
        <v>2638</v>
      </c>
      <c r="D33" t="s">
        <v>2265</v>
      </c>
      <c r="E33">
        <v>1</v>
      </c>
      <c r="G33" t="s">
        <v>1581</v>
      </c>
      <c r="H33" t="s">
        <v>1579</v>
      </c>
    </row>
    <row r="34" spans="1:8" x14ac:dyDescent="0.25">
      <c r="A34" t="s">
        <v>1907</v>
      </c>
      <c r="B34" t="str">
        <f>VLOOKUP(D34,pgc_pyme!J:M,4,FALSE)</f>
        <v>PASIVO CORRIENTE</v>
      </c>
      <c r="C34" t="s">
        <v>2639</v>
      </c>
      <c r="D34" t="s">
        <v>2638</v>
      </c>
      <c r="E34">
        <v>1</v>
      </c>
      <c r="G34" t="s">
        <v>1581</v>
      </c>
      <c r="H34" t="s">
        <v>1579</v>
      </c>
    </row>
    <row r="35" spans="1:8" x14ac:dyDescent="0.25">
      <c r="A35" t="s">
        <v>1899</v>
      </c>
      <c r="B35" t="str">
        <f>VLOOKUP(D35,pgc_pyme!J:M,4,FALSE)</f>
        <v>PASIVO CORRIENTE</v>
      </c>
      <c r="C35" t="s">
        <v>2640</v>
      </c>
      <c r="D35" t="s">
        <v>2638</v>
      </c>
      <c r="E35">
        <v>1</v>
      </c>
      <c r="G35" t="s">
        <v>1581</v>
      </c>
      <c r="H35" t="s">
        <v>1579</v>
      </c>
    </row>
    <row r="36" spans="1:8" x14ac:dyDescent="0.25">
      <c r="A36" t="s">
        <v>2628</v>
      </c>
      <c r="B36" t="str">
        <f>VLOOKUP(D36,pgc_pyme!J:M,4,FALSE)</f>
        <v>Deudas a corto plazo</v>
      </c>
      <c r="C36" t="s">
        <v>2641</v>
      </c>
      <c r="D36" t="s">
        <v>2640</v>
      </c>
      <c r="E36">
        <v>1</v>
      </c>
      <c r="G36" t="s">
        <v>1581</v>
      </c>
      <c r="H36" t="s">
        <v>1579</v>
      </c>
    </row>
    <row r="37" spans="1:8" x14ac:dyDescent="0.25">
      <c r="A37" t="s">
        <v>2631</v>
      </c>
      <c r="B37" t="str">
        <f>VLOOKUP(D37,pgc_pyme!J:M,4,FALSE)</f>
        <v>Deudas a corto plazo</v>
      </c>
      <c r="C37" t="s">
        <v>2642</v>
      </c>
      <c r="D37" t="s">
        <v>2640</v>
      </c>
      <c r="E37">
        <v>1</v>
      </c>
      <c r="G37" t="s">
        <v>1581</v>
      </c>
      <c r="H37" t="s">
        <v>1579</v>
      </c>
    </row>
    <row r="38" spans="1:8" x14ac:dyDescent="0.25">
      <c r="A38" t="s">
        <v>2643</v>
      </c>
      <c r="B38" t="str">
        <f>VLOOKUP(D38,pgc_pyme!J:M,4,FALSE)</f>
        <v>Deudas a corto plazo</v>
      </c>
      <c r="C38" t="s">
        <v>2644</v>
      </c>
      <c r="D38" t="s">
        <v>2640</v>
      </c>
      <c r="E38">
        <v>1</v>
      </c>
      <c r="G38" t="s">
        <v>1581</v>
      </c>
      <c r="H38" t="s">
        <v>1579</v>
      </c>
    </row>
    <row r="39" spans="1:8" x14ac:dyDescent="0.25">
      <c r="A39" t="s">
        <v>2645</v>
      </c>
      <c r="B39" t="str">
        <f>VLOOKUP(D39,pgc_pyme!J:M,4,FALSE)</f>
        <v>PASIVO CORRIENTE</v>
      </c>
      <c r="C39" t="s">
        <v>2646</v>
      </c>
      <c r="D39" t="s">
        <v>2638</v>
      </c>
      <c r="E39">
        <v>1</v>
      </c>
      <c r="G39" t="s">
        <v>1581</v>
      </c>
      <c r="H39" t="s">
        <v>1579</v>
      </c>
    </row>
    <row r="40" spans="1:8" x14ac:dyDescent="0.25">
      <c r="A40" t="s">
        <v>1969</v>
      </c>
      <c r="B40" t="str">
        <f>VLOOKUP(D40,pgc_pyme!J:M,4,FALSE)</f>
        <v>PASIVO CORRIENTE</v>
      </c>
      <c r="C40" t="s">
        <v>2647</v>
      </c>
      <c r="D40" t="s">
        <v>2638</v>
      </c>
      <c r="E40">
        <v>1</v>
      </c>
      <c r="G40" t="s">
        <v>1581</v>
      </c>
      <c r="H40" t="s">
        <v>1579</v>
      </c>
    </row>
    <row r="41" spans="1:8" x14ac:dyDescent="0.25">
      <c r="A41" t="s">
        <v>1790</v>
      </c>
      <c r="B41" t="str">
        <f>VLOOKUP(D41,pgc_pyme!J:M,4,FALSE)</f>
        <v>Acreedores comerciales y otras cuentas a pagar</v>
      </c>
      <c r="C41" t="s">
        <v>2648</v>
      </c>
      <c r="D41" t="s">
        <v>2647</v>
      </c>
      <c r="E41">
        <v>1</v>
      </c>
      <c r="G41" t="s">
        <v>1581</v>
      </c>
      <c r="H41" t="s">
        <v>1579</v>
      </c>
    </row>
    <row r="42" spans="1:8" x14ac:dyDescent="0.25">
      <c r="A42" t="s">
        <v>2650</v>
      </c>
      <c r="B42" t="str">
        <f>VLOOKUP(D42,pgc_pyme!J:M,4,FALSE)</f>
        <v>Acreedores comerciales y otras cuentas a pagar</v>
      </c>
      <c r="C42" t="s">
        <v>2649</v>
      </c>
      <c r="D42" t="s">
        <v>2647</v>
      </c>
      <c r="E42">
        <v>1</v>
      </c>
      <c r="G42" t="s">
        <v>1581</v>
      </c>
      <c r="H42" t="s">
        <v>1579</v>
      </c>
    </row>
    <row r="43" spans="1:8" x14ac:dyDescent="0.25">
      <c r="A43" t="s">
        <v>2601</v>
      </c>
      <c r="B43" t="str">
        <f>VLOOKUP(D43,pgc_pyme!J:M,4,FALSE)</f>
        <v>PASIVO CORRIENTE</v>
      </c>
      <c r="C43" t="s">
        <v>2651</v>
      </c>
      <c r="D43" t="s">
        <v>2638</v>
      </c>
      <c r="E43">
        <v>1</v>
      </c>
      <c r="G43" t="s">
        <v>1581</v>
      </c>
      <c r="H43" t="s">
        <v>1579</v>
      </c>
    </row>
    <row r="44" spans="1:8" x14ac:dyDescent="0.25">
      <c r="A44" t="s">
        <v>2605</v>
      </c>
      <c r="B44" t="str">
        <f>VLOOKUP(D44,pgc_pyme!J:M,4,FALSE)</f>
        <v>PATRIMONIO</v>
      </c>
      <c r="C44" t="s">
        <v>2269</v>
      </c>
      <c r="D44" t="s">
        <v>2266</v>
      </c>
      <c r="E44">
        <v>1</v>
      </c>
      <c r="G44" t="s">
        <v>1582</v>
      </c>
      <c r="H44" t="s">
        <v>1579</v>
      </c>
    </row>
    <row r="45" spans="1:8" x14ac:dyDescent="0.25">
      <c r="A45" t="s">
        <v>1611</v>
      </c>
      <c r="B45" t="str">
        <f>VLOOKUP(D45,pgc_pyme!J:M,4,FALSE)</f>
        <v>Fondos propios</v>
      </c>
      <c r="C45" t="s">
        <v>2609</v>
      </c>
      <c r="D45" t="s">
        <v>2269</v>
      </c>
      <c r="E45">
        <v>1</v>
      </c>
      <c r="G45" t="s">
        <v>1582</v>
      </c>
      <c r="H45" t="s">
        <v>1579</v>
      </c>
    </row>
    <row r="46" spans="1:8" x14ac:dyDescent="0.25">
      <c r="A46" t="s">
        <v>2606</v>
      </c>
      <c r="B46" t="str">
        <f>VLOOKUP(D46,pgc_pyme!J:M,4,FALSE)</f>
        <v>Capital</v>
      </c>
      <c r="C46" t="s">
        <v>2661</v>
      </c>
      <c r="D46" t="s">
        <v>2609</v>
      </c>
      <c r="E46">
        <v>1</v>
      </c>
      <c r="G46" t="s">
        <v>1582</v>
      </c>
      <c r="H46" t="s">
        <v>1579</v>
      </c>
    </row>
    <row r="47" spans="1:8" x14ac:dyDescent="0.25">
      <c r="A47" t="s">
        <v>2607</v>
      </c>
      <c r="B47" t="str">
        <f>VLOOKUP(D47,pgc_pyme!J:M,4,FALSE)</f>
        <v>Capital</v>
      </c>
      <c r="C47" t="s">
        <v>2660</v>
      </c>
      <c r="D47" t="s">
        <v>2609</v>
      </c>
      <c r="E47">
        <v>1</v>
      </c>
      <c r="G47" t="s">
        <v>1582</v>
      </c>
      <c r="H47" t="s">
        <v>1579</v>
      </c>
    </row>
    <row r="48" spans="1:8" x14ac:dyDescent="0.25">
      <c r="A48" t="s">
        <v>2611</v>
      </c>
      <c r="B48" t="str">
        <f>VLOOKUP(D48,pgc_pyme!J:M,4,FALSE)</f>
        <v>Fondos propios</v>
      </c>
      <c r="C48" t="s">
        <v>2610</v>
      </c>
      <c r="D48" t="s">
        <v>2269</v>
      </c>
      <c r="E48">
        <v>1</v>
      </c>
      <c r="G48" t="s">
        <v>1582</v>
      </c>
      <c r="H48" t="s">
        <v>1579</v>
      </c>
    </row>
    <row r="49" spans="1:8" x14ac:dyDescent="0.25">
      <c r="A49" t="s">
        <v>2612</v>
      </c>
      <c r="B49" t="str">
        <f>VLOOKUP(D49,pgc_pyme!J:M,4,FALSE)</f>
        <v>Fondos propios</v>
      </c>
      <c r="C49" t="s">
        <v>2617</v>
      </c>
      <c r="D49" t="s">
        <v>2269</v>
      </c>
      <c r="E49">
        <v>1</v>
      </c>
      <c r="G49" t="s">
        <v>1582</v>
      </c>
      <c r="H49" t="s">
        <v>1579</v>
      </c>
    </row>
    <row r="50" spans="1:8" x14ac:dyDescent="0.25">
      <c r="A50" t="s">
        <v>2613</v>
      </c>
      <c r="B50" t="str">
        <f>VLOOKUP(D50,pgc_pyme!J:M,4,FALSE)</f>
        <v>Fondos propios</v>
      </c>
      <c r="C50" t="s">
        <v>2618</v>
      </c>
      <c r="D50" t="s">
        <v>2269</v>
      </c>
      <c r="E50">
        <v>1</v>
      </c>
      <c r="G50" t="s">
        <v>1582</v>
      </c>
      <c r="H50" t="s">
        <v>1579</v>
      </c>
    </row>
    <row r="51" spans="1:8" x14ac:dyDescent="0.25">
      <c r="A51" t="s">
        <v>2614</v>
      </c>
      <c r="B51" t="str">
        <f>VLOOKUP(D51,pgc_pyme!J:M,4,FALSE)</f>
        <v>Fondos propios</v>
      </c>
      <c r="C51" t="s">
        <v>2619</v>
      </c>
      <c r="D51" t="s">
        <v>2269</v>
      </c>
      <c r="E51">
        <v>1</v>
      </c>
      <c r="G51" t="s">
        <v>1582</v>
      </c>
      <c r="H51" t="s">
        <v>1579</v>
      </c>
    </row>
    <row r="52" spans="1:8" x14ac:dyDescent="0.25">
      <c r="A52" t="s">
        <v>2615</v>
      </c>
      <c r="B52" t="str">
        <f>VLOOKUP(D52,pgc_pyme!J:M,4,FALSE)</f>
        <v>Fondos propios</v>
      </c>
      <c r="C52" t="s">
        <v>2620</v>
      </c>
      <c r="D52" t="s">
        <v>2269</v>
      </c>
      <c r="E52">
        <v>1</v>
      </c>
      <c r="G52" t="s">
        <v>1582</v>
      </c>
      <c r="H52" t="s">
        <v>1579</v>
      </c>
    </row>
    <row r="53" spans="1:8" x14ac:dyDescent="0.25">
      <c r="A53" t="s">
        <v>1630</v>
      </c>
      <c r="B53" t="str">
        <f>VLOOKUP(D53,pgc_pyme!J:M,4,FALSE)</f>
        <v>Fondos propios</v>
      </c>
      <c r="C53" t="s">
        <v>2621</v>
      </c>
      <c r="D53" t="s">
        <v>2269</v>
      </c>
      <c r="E53">
        <v>1</v>
      </c>
      <c r="G53" t="s">
        <v>1582</v>
      </c>
      <c r="H53" t="s">
        <v>1579</v>
      </c>
    </row>
    <row r="54" spans="1:8" x14ac:dyDescent="0.25">
      <c r="A54" t="s">
        <v>2616</v>
      </c>
      <c r="B54" t="str">
        <f>VLOOKUP(D54,pgc_pyme!J:M,4,FALSE)</f>
        <v>Fondos propios</v>
      </c>
      <c r="C54" t="s">
        <v>2622</v>
      </c>
      <c r="D54" t="s">
        <v>2269</v>
      </c>
      <c r="E54">
        <v>1</v>
      </c>
      <c r="G54" t="s">
        <v>1582</v>
      </c>
      <c r="H54" t="s">
        <v>1579</v>
      </c>
    </row>
    <row r="55" spans="1:8" x14ac:dyDescent="0.25">
      <c r="A55" t="s">
        <v>3058</v>
      </c>
      <c r="B55" t="str">
        <f>VLOOKUP(D55,pgc_pyme!J:M,4,FALSE)</f>
        <v>PATRIMONIO</v>
      </c>
      <c r="C55" t="s">
        <v>2608</v>
      </c>
      <c r="D55" t="s">
        <v>2266</v>
      </c>
      <c r="E55">
        <v>1</v>
      </c>
      <c r="G55" t="s">
        <v>1582</v>
      </c>
    </row>
    <row r="56" spans="1:8" x14ac:dyDescent="0.25">
      <c r="A56" t="s">
        <v>1609</v>
      </c>
      <c r="B56" t="str">
        <f>VLOOKUP(D56,pgc_pyme!J:M,4,FALSE)</f>
        <v>Capital escriturado</v>
      </c>
      <c r="C56" t="s">
        <v>2871</v>
      </c>
      <c r="D56" t="s">
        <v>2661</v>
      </c>
      <c r="E56">
        <v>0</v>
      </c>
      <c r="G56" t="s">
        <v>1582</v>
      </c>
    </row>
    <row r="57" spans="1:8" x14ac:dyDescent="0.25">
      <c r="A57" t="s">
        <v>1610</v>
      </c>
      <c r="B57" t="str">
        <f>VLOOKUP(D57,pgc_pyme!J:M,4,FALSE)</f>
        <v>Capital escriturado</v>
      </c>
      <c r="C57" t="s">
        <v>2872</v>
      </c>
      <c r="D57" t="s">
        <v>2661</v>
      </c>
      <c r="E57">
        <v>0</v>
      </c>
      <c r="G57" t="s">
        <v>1582</v>
      </c>
    </row>
    <row r="58" spans="1:8" x14ac:dyDescent="0.25">
      <c r="A58" t="s">
        <v>1611</v>
      </c>
      <c r="B58" t="str">
        <f>VLOOKUP(D58,pgc_pyme!J:M,4,FALSE)</f>
        <v>Capital escriturado</v>
      </c>
      <c r="C58" t="s">
        <v>2873</v>
      </c>
      <c r="D58" t="s">
        <v>2661</v>
      </c>
      <c r="E58">
        <v>0</v>
      </c>
      <c r="G58" t="s">
        <v>1582</v>
      </c>
    </row>
    <row r="59" spans="1:8" x14ac:dyDescent="0.25">
      <c r="A59" t="s">
        <v>1612</v>
      </c>
      <c r="B59" t="str">
        <f>VLOOKUP(D59,pgc_pyme!J:M,4,FALSE)</f>
        <v>Capital no exigido</v>
      </c>
      <c r="C59" t="s">
        <v>2874</v>
      </c>
      <c r="D59" t="s">
        <v>2660</v>
      </c>
      <c r="E59">
        <v>0</v>
      </c>
      <c r="G59" t="s">
        <v>1582</v>
      </c>
    </row>
    <row r="60" spans="1:8" x14ac:dyDescent="0.25">
      <c r="A60" t="s">
        <v>1613</v>
      </c>
      <c r="B60" t="str">
        <f>VLOOKUP(D60,pgc_pyme!J:M,4,FALSE)</f>
        <v>Otras deudas a corto plazo</v>
      </c>
      <c r="C60" t="s">
        <v>2875</v>
      </c>
      <c r="D60" t="s">
        <v>2644</v>
      </c>
      <c r="E60">
        <v>0</v>
      </c>
      <c r="G60" t="s">
        <v>1582</v>
      </c>
    </row>
    <row r="61" spans="1:8" x14ac:dyDescent="0.25">
      <c r="A61" t="s">
        <v>1614</v>
      </c>
      <c r="B61" t="str">
        <f>VLOOKUP(D61,pgc_pyme!J:M,4,FALSE)</f>
        <v>Capital no exigido</v>
      </c>
      <c r="C61" t="s">
        <v>2876</v>
      </c>
      <c r="D61" t="s">
        <v>2660</v>
      </c>
      <c r="E61">
        <v>0</v>
      </c>
      <c r="G61" t="s">
        <v>1582</v>
      </c>
    </row>
    <row r="62" spans="1:8" x14ac:dyDescent="0.25">
      <c r="A62" t="s">
        <v>1615</v>
      </c>
      <c r="B62" t="str">
        <f>VLOOKUP(D62,pgc_pyme!J:M,4,FALSE)</f>
        <v>Otras deudas a corto plazo</v>
      </c>
      <c r="C62" t="s">
        <v>2877</v>
      </c>
      <c r="D62" t="s">
        <v>2644</v>
      </c>
      <c r="E62">
        <v>0</v>
      </c>
      <c r="G62" t="s">
        <v>1582</v>
      </c>
    </row>
    <row r="63" spans="1:8" x14ac:dyDescent="0.25">
      <c r="A63" t="s">
        <v>1616</v>
      </c>
      <c r="B63" t="str">
        <f>VLOOKUP(D63,pgc_pyme!J:M,4,FALSE)</f>
        <v>Acciones y participaciones en patrimonio propias</v>
      </c>
      <c r="C63" t="s">
        <v>2878</v>
      </c>
      <c r="D63" t="s">
        <v>2618</v>
      </c>
      <c r="E63">
        <v>0</v>
      </c>
      <c r="G63" t="s">
        <v>1582</v>
      </c>
    </row>
    <row r="64" spans="1:8" x14ac:dyDescent="0.25">
      <c r="A64" t="s">
        <v>1617</v>
      </c>
      <c r="B64" t="str">
        <f>VLOOKUP(D64,pgc_pyme!J:M,4,FALSE)</f>
        <v>Acciones y participaciones en patrimonio propias</v>
      </c>
      <c r="C64" t="s">
        <v>2879</v>
      </c>
      <c r="D64" t="s">
        <v>2618</v>
      </c>
      <c r="E64">
        <v>0</v>
      </c>
      <c r="G64" t="s">
        <v>1582</v>
      </c>
    </row>
    <row r="65" spans="1:7" x14ac:dyDescent="0.25">
      <c r="A65" t="s">
        <v>1618</v>
      </c>
      <c r="B65" t="str">
        <f>VLOOKUP(D65,pgc_pyme!J:M,4,FALSE)</f>
        <v>Prima de emisión</v>
      </c>
      <c r="C65" t="s">
        <v>2880</v>
      </c>
      <c r="D65" t="s">
        <v>2610</v>
      </c>
      <c r="E65">
        <v>0</v>
      </c>
      <c r="G65" t="s">
        <v>1582</v>
      </c>
    </row>
    <row r="66" spans="1:7" x14ac:dyDescent="0.25">
      <c r="A66" t="s">
        <v>1619</v>
      </c>
      <c r="B66" t="str">
        <f>VLOOKUP(D66,pgc_pyme!J:M,4,FALSE)</f>
        <v>Reservas</v>
      </c>
      <c r="C66" t="s">
        <v>2881</v>
      </c>
      <c r="D66" t="s">
        <v>2617</v>
      </c>
      <c r="E66">
        <v>0</v>
      </c>
      <c r="G66" t="s">
        <v>1582</v>
      </c>
    </row>
    <row r="67" spans="1:7" x14ac:dyDescent="0.25">
      <c r="A67" t="s">
        <v>1620</v>
      </c>
      <c r="B67" t="str">
        <f>VLOOKUP(D67,pgc_pyme!J:M,4,FALSE)</f>
        <v>Reservas</v>
      </c>
      <c r="C67" t="s">
        <v>2882</v>
      </c>
      <c r="D67" t="s">
        <v>2617</v>
      </c>
      <c r="E67">
        <v>0</v>
      </c>
      <c r="G67" t="s">
        <v>1582</v>
      </c>
    </row>
    <row r="68" spans="1:7" x14ac:dyDescent="0.25">
      <c r="A68" t="s">
        <v>1621</v>
      </c>
      <c r="B68" t="str">
        <f>VLOOKUP(D68,pgc_pyme!J:M,4,FALSE)</f>
        <v>Reservas</v>
      </c>
      <c r="C68" t="s">
        <v>2672</v>
      </c>
      <c r="D68" t="s">
        <v>2617</v>
      </c>
      <c r="E68">
        <v>1</v>
      </c>
      <c r="G68" t="s">
        <v>1582</v>
      </c>
    </row>
    <row r="69" spans="1:7" x14ac:dyDescent="0.25">
      <c r="A69" t="s">
        <v>1622</v>
      </c>
      <c r="B69" t="str">
        <f>VLOOKUP(D69,pgc_pyme!J:M,4,FALSE)</f>
        <v>Reservas especiales</v>
      </c>
      <c r="C69" t="s">
        <v>2673</v>
      </c>
      <c r="D69" t="s">
        <v>2672</v>
      </c>
      <c r="E69">
        <v>0</v>
      </c>
      <c r="G69" t="s">
        <v>1582</v>
      </c>
    </row>
    <row r="70" spans="1:7" x14ac:dyDescent="0.25">
      <c r="A70" t="s">
        <v>1623</v>
      </c>
      <c r="B70" t="str">
        <f>VLOOKUP(D70,pgc_pyme!J:M,4,FALSE)</f>
        <v>Reservas especiales</v>
      </c>
      <c r="C70" t="s">
        <v>2674</v>
      </c>
      <c r="D70" t="s">
        <v>2672</v>
      </c>
      <c r="E70">
        <v>0</v>
      </c>
      <c r="G70" t="s">
        <v>1582</v>
      </c>
    </row>
    <row r="71" spans="1:7" x14ac:dyDescent="0.25">
      <c r="A71" t="s">
        <v>1624</v>
      </c>
      <c r="B71" t="str">
        <f>VLOOKUP(D71,pgc_pyme!J:M,4,FALSE)</f>
        <v>Reservas especiales</v>
      </c>
      <c r="C71" t="s">
        <v>2675</v>
      </c>
      <c r="D71" t="s">
        <v>2672</v>
      </c>
      <c r="E71">
        <v>0</v>
      </c>
      <c r="G71" t="s">
        <v>1582</v>
      </c>
    </row>
    <row r="72" spans="1:7" x14ac:dyDescent="0.25">
      <c r="A72" t="s">
        <v>1625</v>
      </c>
      <c r="B72" t="str">
        <f>VLOOKUP(D72,pgc_pyme!J:M,4,FALSE)</f>
        <v>Reservas especiales</v>
      </c>
      <c r="C72" t="s">
        <v>2676</v>
      </c>
      <c r="D72" t="s">
        <v>2672</v>
      </c>
      <c r="E72">
        <v>0</v>
      </c>
      <c r="G72" t="s">
        <v>1582</v>
      </c>
    </row>
    <row r="73" spans="1:7" x14ac:dyDescent="0.25">
      <c r="A73" t="s">
        <v>1626</v>
      </c>
      <c r="B73" t="str">
        <f>VLOOKUP(D73,pgc_pyme!J:M,4,FALSE)</f>
        <v>Otras aportaciones de socios</v>
      </c>
      <c r="C73" t="s">
        <v>2883</v>
      </c>
      <c r="D73" t="s">
        <v>2620</v>
      </c>
      <c r="E73">
        <v>0</v>
      </c>
      <c r="G73" t="s">
        <v>1582</v>
      </c>
    </row>
    <row r="74" spans="1:7" x14ac:dyDescent="0.25">
      <c r="A74" t="s">
        <v>1627</v>
      </c>
      <c r="B74" t="str">
        <f>VLOOKUP(D74,pgc_pyme!J:M,4,FALSE)</f>
        <v>Reservas</v>
      </c>
      <c r="C74" t="s">
        <v>2884</v>
      </c>
      <c r="D74" t="s">
        <v>2617</v>
      </c>
      <c r="E74">
        <v>0</v>
      </c>
      <c r="G74" t="s">
        <v>1582</v>
      </c>
    </row>
    <row r="75" spans="1:7" x14ac:dyDescent="0.25">
      <c r="A75" t="s">
        <v>1628</v>
      </c>
      <c r="B75" t="str">
        <f>VLOOKUP(D75,pgc_pyme!J:M,4,FALSE)</f>
        <v>Resultado de ejercicios anteriores</v>
      </c>
      <c r="C75" t="s">
        <v>2885</v>
      </c>
      <c r="D75" t="s">
        <v>2619</v>
      </c>
      <c r="E75">
        <v>0</v>
      </c>
      <c r="G75" t="s">
        <v>1582</v>
      </c>
    </row>
    <row r="76" spans="1:7" x14ac:dyDescent="0.25">
      <c r="A76" t="s">
        <v>1629</v>
      </c>
      <c r="B76" t="str">
        <f>VLOOKUP(D76,pgc_pyme!J:M,4,FALSE)</f>
        <v>Resultado de ejercicios anteriores</v>
      </c>
      <c r="C76" t="s">
        <v>2886</v>
      </c>
      <c r="D76" t="s">
        <v>2619</v>
      </c>
      <c r="E76">
        <v>0</v>
      </c>
      <c r="G76" t="s">
        <v>1582</v>
      </c>
    </row>
    <row r="77" spans="1:7" x14ac:dyDescent="0.25">
      <c r="A77" t="s">
        <v>1630</v>
      </c>
      <c r="B77" t="str">
        <f>VLOOKUP(D77,pgc_pyme!J:M,4,FALSE)</f>
        <v>Resultado del ejercicio</v>
      </c>
      <c r="C77" t="s">
        <v>2887</v>
      </c>
      <c r="D77" t="s">
        <v>2621</v>
      </c>
      <c r="E77">
        <v>0</v>
      </c>
      <c r="G77" t="s">
        <v>1582</v>
      </c>
    </row>
    <row r="78" spans="1:7" x14ac:dyDescent="0.25">
      <c r="A78" t="s">
        <v>1631</v>
      </c>
      <c r="B78" t="str">
        <f>VLOOKUP(D78,pgc_pyme!J:M,4,FALSE)</f>
        <v>Subvenciones, Donaciones y Legados Recibidos</v>
      </c>
      <c r="C78" t="s">
        <v>2888</v>
      </c>
      <c r="D78" t="s">
        <v>2608</v>
      </c>
      <c r="E78">
        <v>0</v>
      </c>
      <c r="G78" t="s">
        <v>1581</v>
      </c>
    </row>
    <row r="79" spans="1:7" x14ac:dyDescent="0.25">
      <c r="A79" t="s">
        <v>1632</v>
      </c>
      <c r="B79" t="str">
        <f>VLOOKUP(D79,pgc_pyme!J:M,4,FALSE)</f>
        <v>Subvenciones, Donaciones y Legados Recibidos</v>
      </c>
      <c r="C79" t="s">
        <v>2889</v>
      </c>
      <c r="D79" t="s">
        <v>2608</v>
      </c>
      <c r="E79">
        <v>0</v>
      </c>
      <c r="G79" t="s">
        <v>1581</v>
      </c>
    </row>
    <row r="80" spans="1:7" x14ac:dyDescent="0.25">
      <c r="A80" t="s">
        <v>1633</v>
      </c>
      <c r="B80" t="str">
        <f>VLOOKUP(D80,pgc_pyme!J:M,4,FALSE)</f>
        <v>Subvenciones, Donaciones y Legados Recibidos</v>
      </c>
      <c r="C80" t="s">
        <v>2890</v>
      </c>
      <c r="D80" t="s">
        <v>2608</v>
      </c>
      <c r="E80">
        <v>0</v>
      </c>
      <c r="G80" t="s">
        <v>1581</v>
      </c>
    </row>
    <row r="81" spans="1:7" x14ac:dyDescent="0.25">
      <c r="A81" t="s">
        <v>3069</v>
      </c>
      <c r="B81" t="str">
        <f>VLOOKUP(D81,pgc_pyme!J:M,4,FALSE)</f>
        <v>Provisiones a largo plazo</v>
      </c>
      <c r="C81" t="s">
        <v>2677</v>
      </c>
      <c r="D81" t="s">
        <v>2627</v>
      </c>
      <c r="E81">
        <v>1</v>
      </c>
      <c r="G81" t="s">
        <v>1581</v>
      </c>
    </row>
    <row r="82" spans="1:7" x14ac:dyDescent="0.25">
      <c r="A82" t="s">
        <v>1634</v>
      </c>
      <c r="B82" t="str">
        <f>VLOOKUP(D82,pgc_pyme!J:M,4,FALSE)</f>
        <v>Provisiones</v>
      </c>
      <c r="C82" t="s">
        <v>2678</v>
      </c>
      <c r="D82" t="s">
        <v>2677</v>
      </c>
      <c r="E82">
        <v>0</v>
      </c>
      <c r="G82" t="s">
        <v>1581</v>
      </c>
    </row>
    <row r="83" spans="1:7" x14ac:dyDescent="0.25">
      <c r="A83" t="s">
        <v>1635</v>
      </c>
      <c r="B83" t="str">
        <f>VLOOKUP(D83,pgc_pyme!J:M,4,FALSE)</f>
        <v>Provisiones</v>
      </c>
      <c r="C83" t="s">
        <v>2679</v>
      </c>
      <c r="D83" t="s">
        <v>2677</v>
      </c>
      <c r="E83">
        <v>0</v>
      </c>
      <c r="G83" t="s">
        <v>1581</v>
      </c>
    </row>
    <row r="84" spans="1:7" x14ac:dyDescent="0.25">
      <c r="A84" t="s">
        <v>1636</v>
      </c>
      <c r="B84" t="str">
        <f>VLOOKUP(D84,pgc_pyme!J:M,4,FALSE)</f>
        <v>Provisiones</v>
      </c>
      <c r="C84" t="s">
        <v>2680</v>
      </c>
      <c r="D84" t="s">
        <v>2677</v>
      </c>
      <c r="E84">
        <v>0</v>
      </c>
      <c r="G84" t="s">
        <v>1581</v>
      </c>
    </row>
    <row r="85" spans="1:7" x14ac:dyDescent="0.25">
      <c r="A85" t="s">
        <v>1637</v>
      </c>
      <c r="B85" t="str">
        <f>VLOOKUP(D85,pgc_pyme!J:M,4,FALSE)</f>
        <v>Provisiones</v>
      </c>
      <c r="C85" t="s">
        <v>2681</v>
      </c>
      <c r="D85" t="s">
        <v>2677</v>
      </c>
      <c r="E85">
        <v>0</v>
      </c>
      <c r="G85" t="s">
        <v>1581</v>
      </c>
    </row>
    <row r="86" spans="1:7" x14ac:dyDescent="0.25">
      <c r="A86" t="s">
        <v>1638</v>
      </c>
      <c r="B86" t="str">
        <f>VLOOKUP(D86,pgc_pyme!J:M,4,FALSE)</f>
        <v>Deudas con empresas del grupo y asociadas a largo plazo</v>
      </c>
      <c r="C86" t="s">
        <v>2891</v>
      </c>
      <c r="D86" t="s">
        <v>2669</v>
      </c>
      <c r="E86">
        <v>0</v>
      </c>
      <c r="G86" t="s">
        <v>1581</v>
      </c>
    </row>
    <row r="87" spans="1:7" x14ac:dyDescent="0.25">
      <c r="A87" t="s">
        <v>1639</v>
      </c>
      <c r="B87" t="str">
        <f>VLOOKUP(D87,pgc_pyme!J:M,4,FALSE)</f>
        <v>Deudas con empresas del grupo y asociadas a largo plazo</v>
      </c>
      <c r="C87" t="s">
        <v>2892</v>
      </c>
      <c r="D87" t="s">
        <v>2669</v>
      </c>
      <c r="E87">
        <v>0</v>
      </c>
      <c r="G87" t="s">
        <v>1581</v>
      </c>
    </row>
    <row r="88" spans="1:7" x14ac:dyDescent="0.25">
      <c r="A88" t="s">
        <v>1640</v>
      </c>
      <c r="B88" t="str">
        <f>VLOOKUP(D88,pgc_pyme!J:M,4,FALSE)</f>
        <v>Deudas con entidades de crédito</v>
      </c>
      <c r="C88" t="s">
        <v>2893</v>
      </c>
      <c r="D88" t="s">
        <v>2630</v>
      </c>
      <c r="E88">
        <v>0</v>
      </c>
      <c r="G88" t="s">
        <v>1581</v>
      </c>
    </row>
    <row r="89" spans="1:7" x14ac:dyDescent="0.25">
      <c r="A89" t="s">
        <v>1641</v>
      </c>
      <c r="B89" t="str">
        <f>VLOOKUP(D89,pgc_pyme!J:M,4,FALSE)</f>
        <v>Deudas con empresas del grupo y asociadas a largo plazo</v>
      </c>
      <c r="C89" t="s">
        <v>2894</v>
      </c>
      <c r="D89" t="s">
        <v>2669</v>
      </c>
      <c r="E89">
        <v>0</v>
      </c>
      <c r="G89" t="s">
        <v>1581</v>
      </c>
    </row>
    <row r="90" spans="1:7" x14ac:dyDescent="0.25">
      <c r="A90" t="s">
        <v>1642</v>
      </c>
      <c r="B90" t="str">
        <f>VLOOKUP(D90,pgc_pyme!J:M,4,FALSE)</f>
        <v>Deudas con empresas del grupo y asociadas a largo plazo</v>
      </c>
      <c r="C90" t="s">
        <v>2895</v>
      </c>
      <c r="D90" t="s">
        <v>2669</v>
      </c>
      <c r="E90">
        <v>0</v>
      </c>
      <c r="G90" t="s">
        <v>1581</v>
      </c>
    </row>
    <row r="91" spans="1:7" x14ac:dyDescent="0.25">
      <c r="A91" t="s">
        <v>1643</v>
      </c>
      <c r="B91" t="str">
        <f>VLOOKUP(D91,pgc_pyme!J:M,4,FALSE)</f>
        <v>Otras deudas a largo plazo</v>
      </c>
      <c r="C91" t="s">
        <v>2896</v>
      </c>
      <c r="D91" t="s">
        <v>2634</v>
      </c>
      <c r="E91">
        <v>0</v>
      </c>
      <c r="G91" t="s">
        <v>1581</v>
      </c>
    </row>
    <row r="92" spans="1:7" x14ac:dyDescent="0.25">
      <c r="A92" t="s">
        <v>1644</v>
      </c>
      <c r="B92" t="str">
        <f>VLOOKUP(D92,pgc_pyme!J:M,4,FALSE)</f>
        <v>Deudas con empresas del grupo y asociadas a largo plazo</v>
      </c>
      <c r="C92" t="s">
        <v>2897</v>
      </c>
      <c r="D92" t="s">
        <v>2669</v>
      </c>
      <c r="E92">
        <v>0</v>
      </c>
      <c r="G92" t="s">
        <v>1581</v>
      </c>
    </row>
    <row r="93" spans="1:7" x14ac:dyDescent="0.25">
      <c r="A93" t="s">
        <v>1645</v>
      </c>
      <c r="B93" t="str">
        <f>VLOOKUP(D93,pgc_pyme!J:M,4,FALSE)</f>
        <v>Deudas con empresas del grupo y asociadas a largo plazo</v>
      </c>
      <c r="C93" t="s">
        <v>2898</v>
      </c>
      <c r="D93" t="s">
        <v>2669</v>
      </c>
      <c r="E93">
        <v>0</v>
      </c>
      <c r="G93" t="s">
        <v>1581</v>
      </c>
    </row>
    <row r="94" spans="1:7" x14ac:dyDescent="0.25">
      <c r="A94" t="s">
        <v>1646</v>
      </c>
      <c r="B94" t="str">
        <f>VLOOKUP(D94,pgc_pyme!J:M,4,FALSE)</f>
        <v>Acreedores por arrendamiento financiero</v>
      </c>
      <c r="C94" t="s">
        <v>2899</v>
      </c>
      <c r="D94" t="s">
        <v>2632</v>
      </c>
      <c r="E94">
        <v>0</v>
      </c>
      <c r="G94" t="s">
        <v>1581</v>
      </c>
    </row>
    <row r="95" spans="1:7" x14ac:dyDescent="0.25">
      <c r="A95" t="s">
        <v>1647</v>
      </c>
      <c r="B95" t="str">
        <f>VLOOKUP(D95,pgc_pyme!J:M,4,FALSE)</f>
        <v>Deudas con empresas del grupo y asociadas a largo plazo</v>
      </c>
      <c r="C95" t="s">
        <v>2900</v>
      </c>
      <c r="D95" t="s">
        <v>2669</v>
      </c>
      <c r="E95">
        <v>0</v>
      </c>
      <c r="G95" t="s">
        <v>1581</v>
      </c>
    </row>
    <row r="96" spans="1:7" x14ac:dyDescent="0.25">
      <c r="A96" t="s">
        <v>1648</v>
      </c>
      <c r="B96" t="str">
        <f>VLOOKUP(D96,pgc_pyme!J:M,4,FALSE)</f>
        <v>Deudas con empresas del grupo y asociadas a largo plazo</v>
      </c>
      <c r="C96" t="s">
        <v>2901</v>
      </c>
      <c r="D96" t="s">
        <v>2669</v>
      </c>
      <c r="E96">
        <v>0</v>
      </c>
      <c r="G96" t="s">
        <v>1581</v>
      </c>
    </row>
    <row r="97" spans="1:7" x14ac:dyDescent="0.25">
      <c r="A97" t="s">
        <v>1649</v>
      </c>
      <c r="B97" t="str">
        <f>VLOOKUP(D97,pgc_pyme!J:M,4,FALSE)</f>
        <v>Otras deudas a largo plazo</v>
      </c>
      <c r="C97" t="s">
        <v>2902</v>
      </c>
      <c r="D97" t="s">
        <v>2634</v>
      </c>
      <c r="E97">
        <v>0</v>
      </c>
      <c r="G97" t="s">
        <v>1581</v>
      </c>
    </row>
    <row r="98" spans="1:7" x14ac:dyDescent="0.25">
      <c r="A98" t="s">
        <v>1650</v>
      </c>
      <c r="B98" t="str">
        <f>VLOOKUP(D98,pgc_pyme!J:M,4,FALSE)</f>
        <v>Deudas con entidades de crédito</v>
      </c>
      <c r="C98" t="s">
        <v>2903</v>
      </c>
      <c r="D98" t="s">
        <v>2630</v>
      </c>
      <c r="E98">
        <v>0</v>
      </c>
      <c r="G98" t="s">
        <v>1581</v>
      </c>
    </row>
    <row r="99" spans="1:7" x14ac:dyDescent="0.25">
      <c r="A99" t="s">
        <v>1651</v>
      </c>
      <c r="B99" t="str">
        <f>VLOOKUP(D99,pgc_pyme!J:M,4,FALSE)</f>
        <v>Otras deudas a largo plazo</v>
      </c>
      <c r="C99" t="s">
        <v>2904</v>
      </c>
      <c r="D99" t="s">
        <v>2634</v>
      </c>
      <c r="E99">
        <v>0</v>
      </c>
      <c r="G99" t="s">
        <v>1581</v>
      </c>
    </row>
    <row r="100" spans="1:7" x14ac:dyDescent="0.25">
      <c r="A100" t="s">
        <v>1652</v>
      </c>
      <c r="B100" t="str">
        <f>VLOOKUP(D100,pgc_pyme!J:M,4,FALSE)</f>
        <v>Otras deudas a largo plazo</v>
      </c>
      <c r="C100" t="s">
        <v>2905</v>
      </c>
      <c r="D100" t="s">
        <v>2634</v>
      </c>
      <c r="E100">
        <v>0</v>
      </c>
      <c r="G100" t="s">
        <v>1581</v>
      </c>
    </row>
    <row r="101" spans="1:7" x14ac:dyDescent="0.25">
      <c r="A101" t="s">
        <v>1653</v>
      </c>
      <c r="B101" t="str">
        <f>VLOOKUP(D101,pgc_pyme!J:M,4,FALSE)</f>
        <v>Otras deudas a largo plazo</v>
      </c>
      <c r="C101" t="s">
        <v>2906</v>
      </c>
      <c r="D101" t="s">
        <v>2634</v>
      </c>
      <c r="E101">
        <v>0</v>
      </c>
      <c r="G101" t="s">
        <v>1581</v>
      </c>
    </row>
    <row r="102" spans="1:7" x14ac:dyDescent="0.25">
      <c r="A102" t="s">
        <v>1654</v>
      </c>
      <c r="B102" t="str">
        <f>VLOOKUP(D102,pgc_pyme!J:M,4,FALSE)</f>
        <v>Acreedores por arrendamiento financiero</v>
      </c>
      <c r="C102" t="s">
        <v>2907</v>
      </c>
      <c r="D102" t="s">
        <v>2632</v>
      </c>
      <c r="E102">
        <v>0</v>
      </c>
      <c r="G102" t="s">
        <v>1581</v>
      </c>
    </row>
    <row r="103" spans="1:7" x14ac:dyDescent="0.25">
      <c r="A103" t="s">
        <v>1655</v>
      </c>
      <c r="B103" t="str">
        <f>VLOOKUP(D103,pgc_pyme!J:M,4,FALSE)</f>
        <v>Otras deudas a largo plazo</v>
      </c>
      <c r="C103" t="s">
        <v>2908</v>
      </c>
      <c r="D103" t="s">
        <v>2634</v>
      </c>
      <c r="E103">
        <v>0</v>
      </c>
      <c r="G103" t="s">
        <v>1581</v>
      </c>
    </row>
    <row r="104" spans="1:7" x14ac:dyDescent="0.25">
      <c r="A104" t="s">
        <v>1656</v>
      </c>
      <c r="B104" t="str">
        <f>VLOOKUP(D104,pgc_pyme!J:M,4,FALSE)</f>
        <v>Otras deudas a largo plazo</v>
      </c>
      <c r="C104" t="s">
        <v>2909</v>
      </c>
      <c r="D104" t="s">
        <v>2634</v>
      </c>
      <c r="E104">
        <v>0</v>
      </c>
      <c r="G104" t="s">
        <v>1581</v>
      </c>
    </row>
    <row r="105" spans="1:7" x14ac:dyDescent="0.25">
      <c r="A105" t="s">
        <v>1657</v>
      </c>
      <c r="B105" t="str">
        <f>VLOOKUP(D105,pgc_pyme!J:M,4,FALSE)</f>
        <v>Otras deudas a largo plazo</v>
      </c>
      <c r="C105" t="s">
        <v>2910</v>
      </c>
      <c r="D105" t="s">
        <v>2634</v>
      </c>
      <c r="E105">
        <v>0</v>
      </c>
      <c r="G105" t="s">
        <v>1581</v>
      </c>
    </row>
    <row r="106" spans="1:7" x14ac:dyDescent="0.25">
      <c r="A106" t="s">
        <v>1658</v>
      </c>
      <c r="B106" t="str">
        <f>VLOOKUP(D106,pgc_pyme!J:M,4,FALSE)</f>
        <v>Otras deudas a largo plazo</v>
      </c>
      <c r="C106" t="s">
        <v>2911</v>
      </c>
      <c r="D106" t="s">
        <v>2634</v>
      </c>
      <c r="E106">
        <v>0</v>
      </c>
      <c r="G106" t="s">
        <v>1581</v>
      </c>
    </row>
    <row r="107" spans="1:7" x14ac:dyDescent="0.25">
      <c r="A107" t="s">
        <v>1659</v>
      </c>
      <c r="B107" t="str">
        <f>VLOOKUP(D107,pgc_pyme!J:M,4,FALSE)</f>
        <v>Otras deudas a largo plazo</v>
      </c>
      <c r="C107" t="s">
        <v>2912</v>
      </c>
      <c r="D107" t="s">
        <v>2634</v>
      </c>
      <c r="E107">
        <v>0</v>
      </c>
      <c r="G107" t="s">
        <v>1581</v>
      </c>
    </row>
    <row r="108" spans="1:7" x14ac:dyDescent="0.25">
      <c r="A108" t="s">
        <v>1660</v>
      </c>
      <c r="B108" t="str">
        <f>VLOOKUP(D108,pgc_pyme!J:M,4,FALSE)</f>
        <v>Periodificaciones a largo plazo</v>
      </c>
      <c r="C108" t="s">
        <v>2913</v>
      </c>
      <c r="D108" t="s">
        <v>2671</v>
      </c>
      <c r="E108">
        <v>0</v>
      </c>
      <c r="G108" t="s">
        <v>1581</v>
      </c>
    </row>
    <row r="109" spans="1:7" x14ac:dyDescent="0.25">
      <c r="A109" t="s">
        <v>1661</v>
      </c>
      <c r="B109" t="str">
        <f>VLOOKUP(D109,pgc_pyme!J:M,4,FALSE)</f>
        <v>Otras deudas a largo plazo</v>
      </c>
      <c r="C109" t="s">
        <v>2914</v>
      </c>
      <c r="D109" t="s">
        <v>2634</v>
      </c>
      <c r="E109">
        <v>0</v>
      </c>
      <c r="G109" t="s">
        <v>1581</v>
      </c>
    </row>
    <row r="110" spans="1:7" x14ac:dyDescent="0.25">
      <c r="A110" t="s">
        <v>1662</v>
      </c>
      <c r="B110" t="str">
        <f>VLOOKUP(D110,pgc_pyme!J:M,4,FALSE)</f>
        <v>Otras deudas a corto plazo</v>
      </c>
      <c r="C110" t="s">
        <v>2915</v>
      </c>
      <c r="D110" t="s">
        <v>2644</v>
      </c>
      <c r="E110">
        <v>0</v>
      </c>
      <c r="G110" t="s">
        <v>1581</v>
      </c>
    </row>
    <row r="111" spans="1:7" x14ac:dyDescent="0.25">
      <c r="A111" t="s">
        <v>1663</v>
      </c>
      <c r="B111" t="str">
        <f>VLOOKUP(D111,pgc_pyme!J:M,4,FALSE)</f>
        <v>Otras deudas a corto plazo</v>
      </c>
      <c r="C111" t="s">
        <v>2916</v>
      </c>
      <c r="D111" t="s">
        <v>2644</v>
      </c>
      <c r="E111">
        <v>0</v>
      </c>
      <c r="G111" t="s">
        <v>1581</v>
      </c>
    </row>
    <row r="112" spans="1:7" x14ac:dyDescent="0.25">
      <c r="A112" t="s">
        <v>1664</v>
      </c>
      <c r="B112" t="str">
        <f>VLOOKUP(D112,pgc_pyme!J:M,4,FALSE)</f>
        <v>Otras deudas a corto plazo</v>
      </c>
      <c r="C112" t="s">
        <v>2917</v>
      </c>
      <c r="D112" t="s">
        <v>2644</v>
      </c>
      <c r="E112">
        <v>0</v>
      </c>
      <c r="G112" t="s">
        <v>1581</v>
      </c>
    </row>
    <row r="113" spans="1:7" x14ac:dyDescent="0.25">
      <c r="A113" t="s">
        <v>3070</v>
      </c>
      <c r="B113" t="str">
        <f>VLOOKUP(D113,pgc_pyme!J:M,4,FALSE)</f>
        <v>Inmovilizado intangible</v>
      </c>
      <c r="C113" t="s">
        <v>2682</v>
      </c>
      <c r="D113" t="s">
        <v>2582</v>
      </c>
      <c r="E113">
        <v>1</v>
      </c>
      <c r="G113" t="s">
        <v>1578</v>
      </c>
    </row>
    <row r="114" spans="1:7" x14ac:dyDescent="0.25">
      <c r="A114" t="s">
        <v>1665</v>
      </c>
      <c r="B114" t="str">
        <f>VLOOKUP(D114,pgc_pyme!J:M,4,FALSE)</f>
        <v>Inmovilizaciones Intangibles</v>
      </c>
      <c r="C114" t="s">
        <v>2683</v>
      </c>
      <c r="D114" t="s">
        <v>2682</v>
      </c>
      <c r="E114">
        <v>0</v>
      </c>
      <c r="F114" t="s">
        <v>1600</v>
      </c>
      <c r="G114" t="s">
        <v>1578</v>
      </c>
    </row>
    <row r="115" spans="1:7" x14ac:dyDescent="0.25">
      <c r="A115" t="s">
        <v>1666</v>
      </c>
      <c r="B115" t="str">
        <f>VLOOKUP(D115,pgc_pyme!J:M,4,FALSE)</f>
        <v>Inmovilizaciones Intangibles</v>
      </c>
      <c r="C115" t="s">
        <v>2684</v>
      </c>
      <c r="D115" t="s">
        <v>2682</v>
      </c>
      <c r="E115">
        <v>0</v>
      </c>
      <c r="F115" t="s">
        <v>1600</v>
      </c>
      <c r="G115" t="s">
        <v>1578</v>
      </c>
    </row>
    <row r="116" spans="1:7" x14ac:dyDescent="0.25">
      <c r="A116" t="s">
        <v>1667</v>
      </c>
      <c r="B116" t="str">
        <f>VLOOKUP(D116,pgc_pyme!J:M,4,FALSE)</f>
        <v>Inmovilizaciones Intangibles</v>
      </c>
      <c r="C116" t="s">
        <v>2685</v>
      </c>
      <c r="D116" t="s">
        <v>2682</v>
      </c>
      <c r="E116">
        <v>0</v>
      </c>
      <c r="F116" t="s">
        <v>1600</v>
      </c>
      <c r="G116" t="s">
        <v>1578</v>
      </c>
    </row>
    <row r="117" spans="1:7" x14ac:dyDescent="0.25">
      <c r="A117" t="s">
        <v>1668</v>
      </c>
      <c r="B117" t="str">
        <f>VLOOKUP(D117,pgc_pyme!J:M,4,FALSE)</f>
        <v>Inmovilizaciones Intangibles</v>
      </c>
      <c r="C117" t="s">
        <v>2686</v>
      </c>
      <c r="D117" t="s">
        <v>2682</v>
      </c>
      <c r="E117">
        <v>0</v>
      </c>
      <c r="F117" t="s">
        <v>1600</v>
      </c>
      <c r="G117" t="s">
        <v>1578</v>
      </c>
    </row>
    <row r="118" spans="1:7" x14ac:dyDescent="0.25">
      <c r="A118" t="s">
        <v>1669</v>
      </c>
      <c r="B118" t="str">
        <f>VLOOKUP(D118,pgc_pyme!J:M,4,FALSE)</f>
        <v>Inmovilizaciones Intangibles</v>
      </c>
      <c r="C118" t="s">
        <v>2687</v>
      </c>
      <c r="D118" t="s">
        <v>2682</v>
      </c>
      <c r="E118">
        <v>0</v>
      </c>
      <c r="F118" t="s">
        <v>1600</v>
      </c>
      <c r="G118" t="s">
        <v>1578</v>
      </c>
    </row>
    <row r="119" spans="1:7" x14ac:dyDescent="0.25">
      <c r="A119" t="s">
        <v>1670</v>
      </c>
      <c r="B119" t="str">
        <f>VLOOKUP(D119,pgc_pyme!J:M,4,FALSE)</f>
        <v>Inmovilizaciones Intangibles</v>
      </c>
      <c r="C119" t="s">
        <v>2688</v>
      </c>
      <c r="D119" t="s">
        <v>2682</v>
      </c>
      <c r="E119">
        <v>0</v>
      </c>
      <c r="F119" t="s">
        <v>1600</v>
      </c>
      <c r="G119" t="s">
        <v>1578</v>
      </c>
    </row>
    <row r="120" spans="1:7" x14ac:dyDescent="0.25">
      <c r="A120" t="s">
        <v>1671</v>
      </c>
      <c r="B120" t="str">
        <f>VLOOKUP(D120,pgc_pyme!J:M,4,FALSE)</f>
        <v>Inmovilizaciones Intangibles</v>
      </c>
      <c r="C120" t="s">
        <v>2689</v>
      </c>
      <c r="D120" t="s">
        <v>2682</v>
      </c>
      <c r="E120">
        <v>0</v>
      </c>
      <c r="F120" t="s">
        <v>1600</v>
      </c>
      <c r="G120" t="s">
        <v>1578</v>
      </c>
    </row>
    <row r="121" spans="1:7" x14ac:dyDescent="0.25">
      <c r="A121" t="s">
        <v>3071</v>
      </c>
      <c r="B121" t="str">
        <f>VLOOKUP(D121,pgc_pyme!J:M,4,FALSE)</f>
        <v>Inmovilizado material</v>
      </c>
      <c r="C121" t="s">
        <v>2690</v>
      </c>
      <c r="D121" t="s">
        <v>2654</v>
      </c>
      <c r="E121">
        <v>1</v>
      </c>
      <c r="G121" t="s">
        <v>1578</v>
      </c>
    </row>
    <row r="122" spans="1:7" x14ac:dyDescent="0.25">
      <c r="A122" t="s">
        <v>1672</v>
      </c>
      <c r="B122" t="str">
        <f>VLOOKUP(D122,pgc_pyme!J:M,4,FALSE)</f>
        <v>Inmovilizaciones Materiales</v>
      </c>
      <c r="C122" t="s">
        <v>2691</v>
      </c>
      <c r="D122" t="s">
        <v>2690</v>
      </c>
      <c r="E122">
        <v>0</v>
      </c>
      <c r="G122" t="s">
        <v>1578</v>
      </c>
    </row>
    <row r="123" spans="1:7" x14ac:dyDescent="0.25">
      <c r="A123" t="s">
        <v>1673</v>
      </c>
      <c r="B123" t="str">
        <f>VLOOKUP(D123,pgc_pyme!J:M,4,FALSE)</f>
        <v>Inmovilizaciones Materiales</v>
      </c>
      <c r="C123" t="s">
        <v>2692</v>
      </c>
      <c r="D123" t="s">
        <v>2690</v>
      </c>
      <c r="E123">
        <v>0</v>
      </c>
      <c r="G123" t="s">
        <v>1578</v>
      </c>
    </row>
    <row r="124" spans="1:7" x14ac:dyDescent="0.25">
      <c r="A124" t="s">
        <v>1674</v>
      </c>
      <c r="B124" t="str">
        <f>VLOOKUP(D124,pgc_pyme!J:M,4,FALSE)</f>
        <v>Inmovilizaciones Materiales</v>
      </c>
      <c r="C124" t="s">
        <v>2693</v>
      </c>
      <c r="D124" t="s">
        <v>2690</v>
      </c>
      <c r="E124">
        <v>0</v>
      </c>
      <c r="G124" t="s">
        <v>1578</v>
      </c>
    </row>
    <row r="125" spans="1:7" x14ac:dyDescent="0.25">
      <c r="A125" t="s">
        <v>1675</v>
      </c>
      <c r="B125" t="str">
        <f>VLOOKUP(D125,pgc_pyme!J:M,4,FALSE)</f>
        <v>Inmovilizaciones Materiales</v>
      </c>
      <c r="C125" t="s">
        <v>2694</v>
      </c>
      <c r="D125" t="s">
        <v>2690</v>
      </c>
      <c r="E125">
        <v>0</v>
      </c>
      <c r="G125" t="s">
        <v>1578</v>
      </c>
    </row>
    <row r="126" spans="1:7" x14ac:dyDescent="0.25">
      <c r="A126" t="s">
        <v>1676</v>
      </c>
      <c r="B126" t="str">
        <f>VLOOKUP(D126,pgc_pyme!J:M,4,FALSE)</f>
        <v>Inmovilizaciones Materiales</v>
      </c>
      <c r="C126" t="s">
        <v>2695</v>
      </c>
      <c r="D126" t="s">
        <v>2690</v>
      </c>
      <c r="E126">
        <v>0</v>
      </c>
      <c r="G126" t="s">
        <v>1578</v>
      </c>
    </row>
    <row r="127" spans="1:7" x14ac:dyDescent="0.25">
      <c r="A127" t="s">
        <v>1677</v>
      </c>
      <c r="B127" t="str">
        <f>VLOOKUP(D127,pgc_pyme!J:M,4,FALSE)</f>
        <v>Inmovilizaciones Materiales</v>
      </c>
      <c r="C127" t="s">
        <v>2696</v>
      </c>
      <c r="D127" t="s">
        <v>2690</v>
      </c>
      <c r="E127">
        <v>0</v>
      </c>
      <c r="G127" t="s">
        <v>1578</v>
      </c>
    </row>
    <row r="128" spans="1:7" x14ac:dyDescent="0.25">
      <c r="A128" t="s">
        <v>1678</v>
      </c>
      <c r="B128" t="str">
        <f>VLOOKUP(D128,pgc_pyme!J:M,4,FALSE)</f>
        <v>Inmovilizaciones Materiales</v>
      </c>
      <c r="C128" t="s">
        <v>2697</v>
      </c>
      <c r="D128" t="s">
        <v>2690</v>
      </c>
      <c r="E128">
        <v>0</v>
      </c>
      <c r="G128" t="s">
        <v>1578</v>
      </c>
    </row>
    <row r="129" spans="1:7" x14ac:dyDescent="0.25">
      <c r="A129" t="s">
        <v>1679</v>
      </c>
      <c r="B129" t="str">
        <f>VLOOKUP(D129,pgc_pyme!J:M,4,FALSE)</f>
        <v>Inmovilizaciones Materiales</v>
      </c>
      <c r="C129" t="s">
        <v>2698</v>
      </c>
      <c r="D129" t="s">
        <v>2690</v>
      </c>
      <c r="E129">
        <v>0</v>
      </c>
      <c r="G129" t="s">
        <v>1578</v>
      </c>
    </row>
    <row r="130" spans="1:7" x14ac:dyDescent="0.25">
      <c r="A130" t="s">
        <v>1680</v>
      </c>
      <c r="B130" t="str">
        <f>VLOOKUP(D130,pgc_pyme!J:M,4,FALSE)</f>
        <v>Inmovilizaciones Materiales</v>
      </c>
      <c r="C130" t="s">
        <v>2699</v>
      </c>
      <c r="D130" t="s">
        <v>2690</v>
      </c>
      <c r="E130">
        <v>0</v>
      </c>
      <c r="G130" t="s">
        <v>1578</v>
      </c>
    </row>
    <row r="131" spans="1:7" x14ac:dyDescent="0.25">
      <c r="A131" t="s">
        <v>1681</v>
      </c>
      <c r="B131" t="str">
        <f>VLOOKUP(D131,pgc_pyme!J:M,4,FALSE)</f>
        <v>Inmovilizaciones Materiales</v>
      </c>
      <c r="C131" t="s">
        <v>2700</v>
      </c>
      <c r="D131" t="s">
        <v>2690</v>
      </c>
      <c r="E131">
        <v>0</v>
      </c>
      <c r="G131" t="s">
        <v>1578</v>
      </c>
    </row>
    <row r="132" spans="1:7" x14ac:dyDescent="0.25">
      <c r="A132" t="s">
        <v>3072</v>
      </c>
      <c r="B132" t="str">
        <f>VLOOKUP(D132,pgc_pyme!J:M,4,FALSE)</f>
        <v>Inversiones inmobiliarias</v>
      </c>
      <c r="C132" t="s">
        <v>2701</v>
      </c>
      <c r="D132" t="s">
        <v>2655</v>
      </c>
      <c r="E132">
        <v>1</v>
      </c>
      <c r="G132" t="s">
        <v>1578</v>
      </c>
    </row>
    <row r="133" spans="1:7" x14ac:dyDescent="0.25">
      <c r="A133" t="s">
        <v>1682</v>
      </c>
      <c r="B133" t="str">
        <f>VLOOKUP(D133,pgc_pyme!J:M,4,FALSE)</f>
        <v>Inversiones Inmobiliarias</v>
      </c>
      <c r="C133" t="s">
        <v>2702</v>
      </c>
      <c r="D133" t="s">
        <v>2701</v>
      </c>
      <c r="E133">
        <v>0</v>
      </c>
      <c r="G133" t="s">
        <v>1578</v>
      </c>
    </row>
    <row r="134" spans="1:7" x14ac:dyDescent="0.25">
      <c r="A134" t="s">
        <v>1683</v>
      </c>
      <c r="B134" t="str">
        <f>VLOOKUP(D134,pgc_pyme!J:M,4,FALSE)</f>
        <v>Inversiones Inmobiliarias</v>
      </c>
      <c r="C134" t="s">
        <v>2703</v>
      </c>
      <c r="D134" t="s">
        <v>2701</v>
      </c>
      <c r="E134">
        <v>0</v>
      </c>
      <c r="G134" t="s">
        <v>1578</v>
      </c>
    </row>
    <row r="135" spans="1:7" x14ac:dyDescent="0.25">
      <c r="A135" t="s">
        <v>3065</v>
      </c>
      <c r="B135" t="str">
        <f>VLOOKUP(D135,pgc_pyme!J:M,4,FALSE)</f>
        <v>Inmovilizado material</v>
      </c>
      <c r="C135" t="s">
        <v>2704</v>
      </c>
      <c r="D135" t="s">
        <v>2654</v>
      </c>
      <c r="E135">
        <v>1</v>
      </c>
      <c r="G135" t="s">
        <v>1578</v>
      </c>
    </row>
    <row r="136" spans="1:7" x14ac:dyDescent="0.25">
      <c r="A136" t="s">
        <v>1684</v>
      </c>
      <c r="B136" t="str">
        <f>VLOOKUP(D136,pgc_pyme!J:M,4,FALSE)</f>
        <v>Inmovilizaciones Materiales en Curso</v>
      </c>
      <c r="C136" t="s">
        <v>2705</v>
      </c>
      <c r="D136" t="s">
        <v>2704</v>
      </c>
      <c r="E136">
        <v>0</v>
      </c>
      <c r="G136" t="s">
        <v>1578</v>
      </c>
    </row>
    <row r="137" spans="1:7" x14ac:dyDescent="0.25">
      <c r="A137" t="s">
        <v>1685</v>
      </c>
      <c r="B137" t="str">
        <f>VLOOKUP(D137,pgc_pyme!J:M,4,FALSE)</f>
        <v>Inmovilizaciones Materiales en Curso</v>
      </c>
      <c r="C137" t="s">
        <v>2706</v>
      </c>
      <c r="D137" t="s">
        <v>2704</v>
      </c>
      <c r="E137">
        <v>0</v>
      </c>
      <c r="G137" t="s">
        <v>1578</v>
      </c>
    </row>
    <row r="138" spans="1:7" x14ac:dyDescent="0.25">
      <c r="A138" t="s">
        <v>1686</v>
      </c>
      <c r="B138" t="str">
        <f>VLOOKUP(D138,pgc_pyme!J:M,4,FALSE)</f>
        <v>Inmovilizaciones Materiales en Curso</v>
      </c>
      <c r="C138" t="s">
        <v>2707</v>
      </c>
      <c r="D138" t="s">
        <v>2704</v>
      </c>
      <c r="E138">
        <v>0</v>
      </c>
      <c r="G138" t="s">
        <v>1578</v>
      </c>
    </row>
    <row r="139" spans="1:7" x14ac:dyDescent="0.25">
      <c r="A139" t="s">
        <v>1687</v>
      </c>
      <c r="B139" t="str">
        <f>VLOOKUP(D139,pgc_pyme!J:M,4,FALSE)</f>
        <v>Inmovilizaciones Materiales en Curso</v>
      </c>
      <c r="C139" t="s">
        <v>2708</v>
      </c>
      <c r="D139" t="s">
        <v>2704</v>
      </c>
      <c r="E139">
        <v>0</v>
      </c>
      <c r="G139" t="s">
        <v>1578</v>
      </c>
    </row>
    <row r="140" spans="1:7" x14ac:dyDescent="0.25">
      <c r="A140" t="s">
        <v>1688</v>
      </c>
      <c r="B140" t="str">
        <f>VLOOKUP(D140,pgc_pyme!J:M,4,FALSE)</f>
        <v>Inmovilizaciones Materiales en Curso</v>
      </c>
      <c r="C140" t="s">
        <v>2709</v>
      </c>
      <c r="D140" t="s">
        <v>2704</v>
      </c>
      <c r="E140">
        <v>0</v>
      </c>
      <c r="G140" t="s">
        <v>1578</v>
      </c>
    </row>
    <row r="141" spans="1:7" x14ac:dyDescent="0.25">
      <c r="A141" t="s">
        <v>1689</v>
      </c>
      <c r="B141" t="str">
        <f>VLOOKUP(D141,pgc_pyme!J:M,4,FALSE)</f>
        <v>Inmovilizaciones Materiales en Curso</v>
      </c>
      <c r="C141" t="s">
        <v>2710</v>
      </c>
      <c r="D141" t="s">
        <v>2704</v>
      </c>
      <c r="E141">
        <v>0</v>
      </c>
      <c r="G141" t="s">
        <v>1578</v>
      </c>
    </row>
    <row r="142" spans="1:7" x14ac:dyDescent="0.25">
      <c r="A142" t="s">
        <v>1690</v>
      </c>
      <c r="B142" t="str">
        <f>VLOOKUP(D142,pgc_pyme!J:M,4,FALSE)</f>
        <v>Inversiones en empresas del grupo y asociadas a largo plazo</v>
      </c>
      <c r="C142" t="s">
        <v>2918</v>
      </c>
      <c r="D142" t="s">
        <v>2656</v>
      </c>
      <c r="E142">
        <v>0</v>
      </c>
      <c r="G142" t="s">
        <v>1578</v>
      </c>
    </row>
    <row r="143" spans="1:7" x14ac:dyDescent="0.25">
      <c r="A143" t="s">
        <v>1691</v>
      </c>
      <c r="B143" t="str">
        <f>VLOOKUP(D143,pgc_pyme!J:M,4,FALSE)</f>
        <v>Inversiones en empresas del grupo y asociadas a largo plazo</v>
      </c>
      <c r="C143" t="s">
        <v>2919</v>
      </c>
      <c r="D143" t="s">
        <v>2656</v>
      </c>
      <c r="E143">
        <v>0</v>
      </c>
      <c r="G143" t="s">
        <v>1578</v>
      </c>
    </row>
    <row r="144" spans="1:7" x14ac:dyDescent="0.25">
      <c r="A144" t="s">
        <v>1692</v>
      </c>
      <c r="B144" t="str">
        <f>VLOOKUP(D144,pgc_pyme!J:M,4,FALSE)</f>
        <v>Inversiones financieras a largo plazo</v>
      </c>
      <c r="C144" t="s">
        <v>2920</v>
      </c>
      <c r="D144" t="s">
        <v>2657</v>
      </c>
      <c r="E144">
        <v>0</v>
      </c>
      <c r="G144" t="s">
        <v>1578</v>
      </c>
    </row>
    <row r="145" spans="1:7" x14ac:dyDescent="0.25">
      <c r="A145" t="s">
        <v>1693</v>
      </c>
      <c r="B145" t="str">
        <f>VLOOKUP(D145,pgc_pyme!J:M,4,FALSE)</f>
        <v>Inversiones en empresas del grupo y asociadas a largo plazo</v>
      </c>
      <c r="C145" t="s">
        <v>2921</v>
      </c>
      <c r="D145" t="s">
        <v>2656</v>
      </c>
      <c r="E145">
        <v>0</v>
      </c>
      <c r="G145" t="s">
        <v>1578</v>
      </c>
    </row>
    <row r="146" spans="1:7" x14ac:dyDescent="0.25">
      <c r="A146" t="s">
        <v>1694</v>
      </c>
      <c r="B146" t="str">
        <f>VLOOKUP(D146,pgc_pyme!J:M,4,FALSE)</f>
        <v>Inversiones en empresas del grupo y asociadas a largo plazo</v>
      </c>
      <c r="C146" t="s">
        <v>2922</v>
      </c>
      <c r="D146" t="s">
        <v>2656</v>
      </c>
      <c r="E146">
        <v>0</v>
      </c>
      <c r="G146" t="s">
        <v>1578</v>
      </c>
    </row>
    <row r="147" spans="1:7" x14ac:dyDescent="0.25">
      <c r="A147" t="s">
        <v>1695</v>
      </c>
      <c r="B147" t="str">
        <f>VLOOKUP(D147,pgc_pyme!J:M,4,FALSE)</f>
        <v>Inversiones financieras a largo plazo</v>
      </c>
      <c r="C147" t="s">
        <v>2923</v>
      </c>
      <c r="D147" t="s">
        <v>2657</v>
      </c>
      <c r="E147">
        <v>0</v>
      </c>
      <c r="G147" t="s">
        <v>1578</v>
      </c>
    </row>
    <row r="148" spans="1:7" x14ac:dyDescent="0.25">
      <c r="A148" t="s">
        <v>1696</v>
      </c>
      <c r="B148" t="str">
        <f>VLOOKUP(D148,pgc_pyme!J:M,4,FALSE)</f>
        <v>Inversiones en empresas del grupo y asociadas a largo plazo</v>
      </c>
      <c r="C148" t="s">
        <v>2924</v>
      </c>
      <c r="D148" t="s">
        <v>2656</v>
      </c>
      <c r="E148">
        <v>0</v>
      </c>
      <c r="G148" t="s">
        <v>1578</v>
      </c>
    </row>
    <row r="149" spans="1:7" x14ac:dyDescent="0.25">
      <c r="A149" t="s">
        <v>1697</v>
      </c>
      <c r="B149" t="str">
        <f>VLOOKUP(D149,pgc_pyme!J:M,4,FALSE)</f>
        <v>Inversiones en empresas del grupo y asociadas a largo plazo</v>
      </c>
      <c r="C149" t="s">
        <v>2925</v>
      </c>
      <c r="D149" t="s">
        <v>2656</v>
      </c>
      <c r="E149">
        <v>0</v>
      </c>
      <c r="G149" t="s">
        <v>1578</v>
      </c>
    </row>
    <row r="150" spans="1:7" x14ac:dyDescent="0.25">
      <c r="A150" t="s">
        <v>1698</v>
      </c>
      <c r="B150" t="str">
        <f>VLOOKUP(D150,pgc_pyme!J:M,4,FALSE)</f>
        <v>Inversiones financieras a largo plazo</v>
      </c>
      <c r="C150" t="s">
        <v>2926</v>
      </c>
      <c r="D150" t="s">
        <v>2657</v>
      </c>
      <c r="E150">
        <v>0</v>
      </c>
      <c r="G150" t="s">
        <v>1578</v>
      </c>
    </row>
    <row r="151" spans="1:7" x14ac:dyDescent="0.25">
      <c r="A151" t="s">
        <v>1699</v>
      </c>
      <c r="B151" t="str">
        <f>VLOOKUP(D151,pgc_pyme!J:M,4,FALSE)</f>
        <v>Inversiones en empresas del grupo y asociadas a largo plazo</v>
      </c>
      <c r="C151" t="s">
        <v>2927</v>
      </c>
      <c r="D151" t="s">
        <v>2656</v>
      </c>
      <c r="E151">
        <v>0</v>
      </c>
      <c r="G151" t="s">
        <v>1578</v>
      </c>
    </row>
    <row r="152" spans="1:7" x14ac:dyDescent="0.25">
      <c r="A152" t="s">
        <v>1700</v>
      </c>
      <c r="B152" t="str">
        <f>VLOOKUP(D152,pgc_pyme!J:M,4,FALSE)</f>
        <v>Inversiones en empresas del grupo y asociadas a largo plazo</v>
      </c>
      <c r="C152" t="s">
        <v>2928</v>
      </c>
      <c r="D152" t="s">
        <v>2656</v>
      </c>
      <c r="E152">
        <v>0</v>
      </c>
      <c r="G152" t="s">
        <v>1578</v>
      </c>
    </row>
    <row r="153" spans="1:7" x14ac:dyDescent="0.25">
      <c r="A153" t="s">
        <v>1701</v>
      </c>
      <c r="B153" t="str">
        <f>VLOOKUP(D153,pgc_pyme!J:M,4,FALSE)</f>
        <v>Inversiones financieras a largo plazo</v>
      </c>
      <c r="C153" t="s">
        <v>2929</v>
      </c>
      <c r="D153" t="s">
        <v>2657</v>
      </c>
      <c r="E153">
        <v>0</v>
      </c>
      <c r="G153" t="s">
        <v>1578</v>
      </c>
    </row>
    <row r="154" spans="1:7" x14ac:dyDescent="0.25">
      <c r="A154" t="s">
        <v>1702</v>
      </c>
      <c r="B154" t="str">
        <f>VLOOKUP(D154,pgc_pyme!J:M,4,FALSE)</f>
        <v>Inversiones financieras a largo plazo</v>
      </c>
      <c r="C154" t="s">
        <v>2930</v>
      </c>
      <c r="D154" t="s">
        <v>2657</v>
      </c>
      <c r="E154">
        <v>0</v>
      </c>
      <c r="G154" t="s">
        <v>1578</v>
      </c>
    </row>
    <row r="155" spans="1:7" x14ac:dyDescent="0.25">
      <c r="A155" t="s">
        <v>1703</v>
      </c>
      <c r="B155" t="str">
        <f>VLOOKUP(D155,pgc_pyme!J:M,4,FALSE)</f>
        <v>Inversiones financieras a largo plazo</v>
      </c>
      <c r="C155" t="s">
        <v>2931</v>
      </c>
      <c r="D155" t="s">
        <v>2657</v>
      </c>
      <c r="E155">
        <v>0</v>
      </c>
      <c r="G155" t="s">
        <v>1578</v>
      </c>
    </row>
    <row r="156" spans="1:7" x14ac:dyDescent="0.25">
      <c r="A156" t="s">
        <v>1704</v>
      </c>
      <c r="B156" t="str">
        <f>VLOOKUP(D156,pgc_pyme!J:M,4,FALSE)</f>
        <v>Inversiones financieras a largo plazo</v>
      </c>
      <c r="C156" t="s">
        <v>2932</v>
      </c>
      <c r="D156" t="s">
        <v>2657</v>
      </c>
      <c r="E156">
        <v>0</v>
      </c>
      <c r="G156" t="s">
        <v>1578</v>
      </c>
    </row>
    <row r="157" spans="1:7" x14ac:dyDescent="0.25">
      <c r="A157" t="s">
        <v>1705</v>
      </c>
      <c r="B157" t="str">
        <f>VLOOKUP(D157,pgc_pyme!J:M,4,FALSE)</f>
        <v>Inversiones financieras a largo plazo</v>
      </c>
      <c r="C157" t="s">
        <v>2933</v>
      </c>
      <c r="D157" t="s">
        <v>2657</v>
      </c>
      <c r="E157">
        <v>0</v>
      </c>
      <c r="G157" t="s">
        <v>1578</v>
      </c>
    </row>
    <row r="158" spans="1:7" x14ac:dyDescent="0.25">
      <c r="A158" t="s">
        <v>1706</v>
      </c>
      <c r="B158" t="str">
        <f>VLOOKUP(D158,pgc_pyme!J:M,4,FALSE)</f>
        <v>Inversiones financieras a largo plazo</v>
      </c>
      <c r="C158" t="s">
        <v>2934</v>
      </c>
      <c r="D158" t="s">
        <v>2657</v>
      </c>
      <c r="E158">
        <v>0</v>
      </c>
      <c r="G158" t="s">
        <v>1578</v>
      </c>
    </row>
    <row r="159" spans="1:7" x14ac:dyDescent="0.25">
      <c r="A159" t="s">
        <v>1707</v>
      </c>
      <c r="B159" t="str">
        <f>VLOOKUP(D159,pgc_pyme!J:M,4,FALSE)</f>
        <v>Inversiones financieras a largo plazo</v>
      </c>
      <c r="C159" t="s">
        <v>2935</v>
      </c>
      <c r="D159" t="s">
        <v>2657</v>
      </c>
      <c r="E159">
        <v>0</v>
      </c>
      <c r="G159" t="s">
        <v>1578</v>
      </c>
    </row>
    <row r="160" spans="1:7" x14ac:dyDescent="0.25">
      <c r="A160" t="s">
        <v>1708</v>
      </c>
      <c r="B160" t="str">
        <f>VLOOKUP(D160,pgc_pyme!J:M,4,FALSE)</f>
        <v>Inversiones financieras a largo plazo</v>
      </c>
      <c r="C160" t="s">
        <v>2936</v>
      </c>
      <c r="D160" t="s">
        <v>2657</v>
      </c>
      <c r="E160">
        <v>0</v>
      </c>
      <c r="G160" t="s">
        <v>1578</v>
      </c>
    </row>
    <row r="161" spans="1:7" x14ac:dyDescent="0.25">
      <c r="A161" t="s">
        <v>1709</v>
      </c>
      <c r="B161" t="str">
        <f>VLOOKUP(D161,pgc_pyme!J:M,4,FALSE)</f>
        <v>Inversiones financieras a largo plazo</v>
      </c>
      <c r="C161" t="s">
        <v>2937</v>
      </c>
      <c r="D161" t="s">
        <v>2657</v>
      </c>
      <c r="E161">
        <v>0</v>
      </c>
      <c r="G161" t="s">
        <v>1578</v>
      </c>
    </row>
    <row r="162" spans="1:7" x14ac:dyDescent="0.25">
      <c r="A162" t="s">
        <v>3059</v>
      </c>
      <c r="B162" t="str">
        <f>VLOOKUP(D162,pgc_pyme!J:M,4,FALSE)</f>
        <v>Inversiones financieras a largo plazo</v>
      </c>
      <c r="C162" t="s">
        <v>2711</v>
      </c>
      <c r="D162" t="s">
        <v>2657</v>
      </c>
      <c r="E162">
        <v>1</v>
      </c>
      <c r="G162" t="s">
        <v>1578</v>
      </c>
    </row>
    <row r="163" spans="1:7" x14ac:dyDescent="0.25">
      <c r="A163" t="s">
        <v>1710</v>
      </c>
      <c r="B163" t="str">
        <f>VLOOKUP(D163,pgc_pyme!J:M,4,FALSE)</f>
        <v>Fianzas y Depósitos Constituidos a Largo Plazo</v>
      </c>
      <c r="C163" t="s">
        <v>2712</v>
      </c>
      <c r="D163" t="s">
        <v>2711</v>
      </c>
      <c r="E163">
        <v>0</v>
      </c>
      <c r="G163" t="s">
        <v>1578</v>
      </c>
    </row>
    <row r="164" spans="1:7" x14ac:dyDescent="0.25">
      <c r="A164" t="s">
        <v>1711</v>
      </c>
      <c r="B164" t="str">
        <f>VLOOKUP(D164,pgc_pyme!J:M,4,FALSE)</f>
        <v>Fianzas y Depósitos Constituidos a Largo Plazo</v>
      </c>
      <c r="C164" t="s">
        <v>2713</v>
      </c>
      <c r="D164" t="s">
        <v>2711</v>
      </c>
      <c r="E164">
        <v>0</v>
      </c>
      <c r="G164" t="s">
        <v>1578</v>
      </c>
    </row>
    <row r="165" spans="1:7" x14ac:dyDescent="0.25">
      <c r="A165" t="s">
        <v>1712</v>
      </c>
      <c r="B165" t="str">
        <f>VLOOKUP(D165,pgc_pyme!J:M,4,FALSE)</f>
        <v>Inmovilizado intangible</v>
      </c>
      <c r="C165" t="s">
        <v>2714</v>
      </c>
      <c r="D165" t="s">
        <v>2582</v>
      </c>
      <c r="E165">
        <v>1</v>
      </c>
      <c r="G165" t="s">
        <v>1578</v>
      </c>
    </row>
    <row r="166" spans="1:7" x14ac:dyDescent="0.25">
      <c r="A166" t="s">
        <v>1713</v>
      </c>
      <c r="B166" t="str">
        <f>VLOOKUP(D166,pgc_pyme!J:M,4,FALSE)</f>
        <v>Amortización acumulada del inmovilizado intangible</v>
      </c>
      <c r="C166" t="s">
        <v>2715</v>
      </c>
      <c r="D166" t="s">
        <v>2714</v>
      </c>
      <c r="E166">
        <v>0</v>
      </c>
      <c r="F166" t="s">
        <v>3093</v>
      </c>
      <c r="G166" t="s">
        <v>1578</v>
      </c>
    </row>
    <row r="167" spans="1:7" x14ac:dyDescent="0.25">
      <c r="A167" t="s">
        <v>1714</v>
      </c>
      <c r="B167" t="str">
        <f>VLOOKUP(D167,pgc_pyme!J:M,4,FALSE)</f>
        <v>Amortización acumulada del inmovilizado intangible</v>
      </c>
      <c r="C167" t="s">
        <v>2716</v>
      </c>
      <c r="D167" t="s">
        <v>2714</v>
      </c>
      <c r="E167">
        <v>0</v>
      </c>
      <c r="F167" t="s">
        <v>3093</v>
      </c>
      <c r="G167" t="s">
        <v>1578</v>
      </c>
    </row>
    <row r="168" spans="1:7" x14ac:dyDescent="0.25">
      <c r="A168" t="s">
        <v>1715</v>
      </c>
      <c r="B168" t="str">
        <f>VLOOKUP(D168,pgc_pyme!J:M,4,FALSE)</f>
        <v>Amortización acumulada del inmovilizado intangible</v>
      </c>
      <c r="C168" t="s">
        <v>2717</v>
      </c>
      <c r="D168" t="s">
        <v>2714</v>
      </c>
      <c r="E168">
        <v>0</v>
      </c>
      <c r="F168" t="s">
        <v>3093</v>
      </c>
      <c r="G168" t="s">
        <v>1578</v>
      </c>
    </row>
    <row r="169" spans="1:7" x14ac:dyDescent="0.25">
      <c r="A169" t="s">
        <v>1716</v>
      </c>
      <c r="B169" t="str">
        <f>VLOOKUP(D169,pgc_pyme!J:M,4,FALSE)</f>
        <v>Amortización acumulada del inmovilizado intangible</v>
      </c>
      <c r="C169" t="s">
        <v>2718</v>
      </c>
      <c r="D169" t="s">
        <v>2714</v>
      </c>
      <c r="E169">
        <v>0</v>
      </c>
      <c r="F169" t="s">
        <v>3093</v>
      </c>
      <c r="G169" t="s">
        <v>1578</v>
      </c>
    </row>
    <row r="170" spans="1:7" x14ac:dyDescent="0.25">
      <c r="A170" t="s">
        <v>1717</v>
      </c>
      <c r="B170" t="str">
        <f>VLOOKUP(D170,pgc_pyme!J:M,4,FALSE)</f>
        <v>Amortización acumulada del inmovilizado intangible</v>
      </c>
      <c r="C170" t="s">
        <v>2719</v>
      </c>
      <c r="D170" t="s">
        <v>2714</v>
      </c>
      <c r="E170">
        <v>0</v>
      </c>
      <c r="F170" t="s">
        <v>3093</v>
      </c>
      <c r="G170" t="s">
        <v>1578</v>
      </c>
    </row>
    <row r="171" spans="1:7" x14ac:dyDescent="0.25">
      <c r="A171" t="s">
        <v>1718</v>
      </c>
      <c r="B171" t="str">
        <f>VLOOKUP(D171,pgc_pyme!J:M,4,FALSE)</f>
        <v>Amortización acumulada del inmovilizado intangible</v>
      </c>
      <c r="C171" t="s">
        <v>2720</v>
      </c>
      <c r="D171" t="s">
        <v>2714</v>
      </c>
      <c r="E171">
        <v>0</v>
      </c>
      <c r="F171" t="s">
        <v>3093</v>
      </c>
      <c r="G171" t="s">
        <v>1578</v>
      </c>
    </row>
    <row r="172" spans="1:7" x14ac:dyDescent="0.25">
      <c r="A172" t="s">
        <v>1719</v>
      </c>
      <c r="B172" t="str">
        <f>VLOOKUP(D172,pgc_pyme!J:M,4,FALSE)</f>
        <v>Inmovilizado material</v>
      </c>
      <c r="C172" t="s">
        <v>2721</v>
      </c>
      <c r="D172" t="s">
        <v>2654</v>
      </c>
      <c r="E172">
        <v>1</v>
      </c>
      <c r="G172" t="s">
        <v>1578</v>
      </c>
    </row>
    <row r="173" spans="1:7" x14ac:dyDescent="0.25">
      <c r="A173" t="s">
        <v>1720</v>
      </c>
      <c r="B173" t="str">
        <f>VLOOKUP(D173,pgc_pyme!J:M,4,FALSE)</f>
        <v>Amortización acumulada del inmovilizado material</v>
      </c>
      <c r="C173" t="s">
        <v>2722</v>
      </c>
      <c r="D173" t="s">
        <v>2721</v>
      </c>
      <c r="E173">
        <v>0</v>
      </c>
      <c r="F173" t="s">
        <v>3093</v>
      </c>
      <c r="G173" t="s">
        <v>1578</v>
      </c>
    </row>
    <row r="174" spans="1:7" x14ac:dyDescent="0.25">
      <c r="A174" t="s">
        <v>1721</v>
      </c>
      <c r="B174" t="str">
        <f>VLOOKUP(D174,pgc_pyme!J:M,4,FALSE)</f>
        <v>Amortización acumulada del inmovilizado material</v>
      </c>
      <c r="C174" t="s">
        <v>2723</v>
      </c>
      <c r="D174" t="s">
        <v>2721</v>
      </c>
      <c r="E174">
        <v>0</v>
      </c>
      <c r="F174" t="s">
        <v>3093</v>
      </c>
      <c r="G174" t="s">
        <v>1578</v>
      </c>
    </row>
    <row r="175" spans="1:7" x14ac:dyDescent="0.25">
      <c r="A175" t="s">
        <v>1722</v>
      </c>
      <c r="B175" t="str">
        <f>VLOOKUP(D175,pgc_pyme!J:M,4,FALSE)</f>
        <v>Amortización acumulada del inmovilizado material</v>
      </c>
      <c r="C175" t="s">
        <v>2724</v>
      </c>
      <c r="D175" t="s">
        <v>2721</v>
      </c>
      <c r="E175">
        <v>0</v>
      </c>
      <c r="F175" t="s">
        <v>3093</v>
      </c>
      <c r="G175" t="s">
        <v>1578</v>
      </c>
    </row>
    <row r="176" spans="1:7" x14ac:dyDescent="0.25">
      <c r="A176" t="s">
        <v>1723</v>
      </c>
      <c r="B176" t="str">
        <f>VLOOKUP(D176,pgc_pyme!J:M,4,FALSE)</f>
        <v>Amortización acumulada del inmovilizado material</v>
      </c>
      <c r="C176" t="s">
        <v>2725</v>
      </c>
      <c r="D176" t="s">
        <v>2721</v>
      </c>
      <c r="E176">
        <v>0</v>
      </c>
      <c r="F176" t="s">
        <v>3093</v>
      </c>
      <c r="G176" t="s">
        <v>1578</v>
      </c>
    </row>
    <row r="177" spans="1:7" x14ac:dyDescent="0.25">
      <c r="A177" t="s">
        <v>1724</v>
      </c>
      <c r="B177" t="str">
        <f>VLOOKUP(D177,pgc_pyme!J:M,4,FALSE)</f>
        <v>Amortización acumulada del inmovilizado material</v>
      </c>
      <c r="C177" t="s">
        <v>2726</v>
      </c>
      <c r="D177" t="s">
        <v>2721</v>
      </c>
      <c r="E177">
        <v>0</v>
      </c>
      <c r="F177" t="s">
        <v>3093</v>
      </c>
      <c r="G177" t="s">
        <v>1578</v>
      </c>
    </row>
    <row r="178" spans="1:7" x14ac:dyDescent="0.25">
      <c r="A178" t="s">
        <v>1725</v>
      </c>
      <c r="B178" t="str">
        <f>VLOOKUP(D178,pgc_pyme!J:M,4,FALSE)</f>
        <v>Amortización acumulada del inmovilizado material</v>
      </c>
      <c r="C178" t="s">
        <v>2727</v>
      </c>
      <c r="D178" t="s">
        <v>2721</v>
      </c>
      <c r="E178">
        <v>0</v>
      </c>
      <c r="F178" t="s">
        <v>3093</v>
      </c>
      <c r="G178" t="s">
        <v>1578</v>
      </c>
    </row>
    <row r="179" spans="1:7" x14ac:dyDescent="0.25">
      <c r="A179" t="s">
        <v>1726</v>
      </c>
      <c r="B179" t="str">
        <f>VLOOKUP(D179,pgc_pyme!J:M,4,FALSE)</f>
        <v>Amortización acumulada del inmovilizado material</v>
      </c>
      <c r="C179" t="s">
        <v>2728</v>
      </c>
      <c r="D179" t="s">
        <v>2721</v>
      </c>
      <c r="E179">
        <v>0</v>
      </c>
      <c r="F179" t="s">
        <v>3093</v>
      </c>
      <c r="G179" t="s">
        <v>1578</v>
      </c>
    </row>
    <row r="180" spans="1:7" x14ac:dyDescent="0.25">
      <c r="A180" t="s">
        <v>1727</v>
      </c>
      <c r="B180" t="str">
        <f>VLOOKUP(D180,pgc_pyme!J:M,4,FALSE)</f>
        <v>Amortización acumulada del inmovilizado material</v>
      </c>
      <c r="C180" t="s">
        <v>2729</v>
      </c>
      <c r="D180" t="s">
        <v>2721</v>
      </c>
      <c r="E180">
        <v>0</v>
      </c>
      <c r="F180" t="s">
        <v>3093</v>
      </c>
      <c r="G180" t="s">
        <v>1578</v>
      </c>
    </row>
    <row r="181" spans="1:7" x14ac:dyDescent="0.25">
      <c r="A181" t="s">
        <v>1728</v>
      </c>
      <c r="B181" t="str">
        <f>VLOOKUP(D181,pgc_pyme!J:M,4,FALSE)</f>
        <v>Amortización acumulada del inmovilizado material</v>
      </c>
      <c r="C181" t="s">
        <v>2730</v>
      </c>
      <c r="D181" t="s">
        <v>2721</v>
      </c>
      <c r="E181">
        <v>0</v>
      </c>
      <c r="F181" t="s">
        <v>3093</v>
      </c>
      <c r="G181" t="s">
        <v>1578</v>
      </c>
    </row>
    <row r="182" spans="1:7" x14ac:dyDescent="0.25">
      <c r="A182" t="s">
        <v>1729</v>
      </c>
      <c r="B182" t="str">
        <f>VLOOKUP(D182,pgc_pyme!J:M,4,FALSE)</f>
        <v>Inversiones inmobiliarias</v>
      </c>
      <c r="C182" t="s">
        <v>2938</v>
      </c>
      <c r="D182" t="s">
        <v>2655</v>
      </c>
      <c r="E182">
        <v>0</v>
      </c>
      <c r="F182" t="s">
        <v>3093</v>
      </c>
      <c r="G182" t="s">
        <v>1578</v>
      </c>
    </row>
    <row r="183" spans="1:7" x14ac:dyDescent="0.25">
      <c r="A183" t="s">
        <v>1730</v>
      </c>
      <c r="B183" t="str">
        <f>VLOOKUP(D183,pgc_pyme!J:M,4,FALSE)</f>
        <v>Inmovilizado intangible</v>
      </c>
      <c r="C183" t="s">
        <v>2731</v>
      </c>
      <c r="D183" t="s">
        <v>2582</v>
      </c>
      <c r="E183">
        <v>1</v>
      </c>
      <c r="G183" t="s">
        <v>1578</v>
      </c>
    </row>
    <row r="184" spans="1:7" x14ac:dyDescent="0.25">
      <c r="A184" t="s">
        <v>1731</v>
      </c>
      <c r="B184" t="str">
        <f>VLOOKUP(D184,pgc_pyme!J:M,4,FALSE)</f>
        <v>Deterioro de valor del inmovilizado intangible</v>
      </c>
      <c r="C184" t="s">
        <v>2732</v>
      </c>
      <c r="D184" t="s">
        <v>2731</v>
      </c>
      <c r="E184">
        <v>0</v>
      </c>
      <c r="G184" t="s">
        <v>1578</v>
      </c>
    </row>
    <row r="185" spans="1:7" x14ac:dyDescent="0.25">
      <c r="A185" t="s">
        <v>1732</v>
      </c>
      <c r="B185" t="str">
        <f>VLOOKUP(D185,pgc_pyme!J:M,4,FALSE)</f>
        <v>Deterioro de valor del inmovilizado intangible</v>
      </c>
      <c r="C185" t="s">
        <v>2733</v>
      </c>
      <c r="D185" t="s">
        <v>2731</v>
      </c>
      <c r="E185">
        <v>0</v>
      </c>
      <c r="G185" t="s">
        <v>1578</v>
      </c>
    </row>
    <row r="186" spans="1:7" x14ac:dyDescent="0.25">
      <c r="A186" t="s">
        <v>1733</v>
      </c>
      <c r="B186" t="str">
        <f>VLOOKUP(D186,pgc_pyme!J:M,4,FALSE)</f>
        <v>Deterioro de valor del inmovilizado intangible</v>
      </c>
      <c r="C186" t="s">
        <v>2734</v>
      </c>
      <c r="D186" t="s">
        <v>2731</v>
      </c>
      <c r="E186">
        <v>0</v>
      </c>
      <c r="G186" t="s">
        <v>1578</v>
      </c>
    </row>
    <row r="187" spans="1:7" x14ac:dyDescent="0.25">
      <c r="A187" t="s">
        <v>1734</v>
      </c>
      <c r="B187" t="str">
        <f>VLOOKUP(D187,pgc_pyme!J:M,4,FALSE)</f>
        <v>Deterioro de valor del inmovilizado intangible</v>
      </c>
      <c r="C187" t="s">
        <v>2735</v>
      </c>
      <c r="D187" t="s">
        <v>2731</v>
      </c>
      <c r="E187">
        <v>0</v>
      </c>
      <c r="G187" t="s">
        <v>1578</v>
      </c>
    </row>
    <row r="188" spans="1:7" x14ac:dyDescent="0.25">
      <c r="A188" t="s">
        <v>1735</v>
      </c>
      <c r="B188" t="str">
        <f>VLOOKUP(D188,pgc_pyme!J:M,4,FALSE)</f>
        <v>Deterioro de valor del inmovilizado intangible</v>
      </c>
      <c r="C188" t="s">
        <v>2736</v>
      </c>
      <c r="D188" t="s">
        <v>2731</v>
      </c>
      <c r="E188">
        <v>0</v>
      </c>
      <c r="G188" t="s">
        <v>1578</v>
      </c>
    </row>
    <row r="189" spans="1:7" x14ac:dyDescent="0.25">
      <c r="A189" t="s">
        <v>1736</v>
      </c>
      <c r="B189" t="str">
        <f>VLOOKUP(D189,pgc_pyme!J:M,4,FALSE)</f>
        <v>Deterioro de valor del inmovilizado intangible</v>
      </c>
      <c r="C189" t="s">
        <v>2737</v>
      </c>
      <c r="D189" t="s">
        <v>2731</v>
      </c>
      <c r="E189">
        <v>0</v>
      </c>
      <c r="G189" t="s">
        <v>1578</v>
      </c>
    </row>
    <row r="190" spans="1:7" x14ac:dyDescent="0.25">
      <c r="A190" t="s">
        <v>1737</v>
      </c>
      <c r="B190" t="str">
        <f>VLOOKUP(D190,pgc_pyme!J:M,4,FALSE)</f>
        <v>Inmovilizado material</v>
      </c>
      <c r="C190" t="s">
        <v>2738</v>
      </c>
      <c r="D190" t="s">
        <v>2654</v>
      </c>
      <c r="E190">
        <v>1</v>
      </c>
      <c r="G190" t="s">
        <v>1578</v>
      </c>
    </row>
    <row r="191" spans="1:7" x14ac:dyDescent="0.25">
      <c r="A191" t="s">
        <v>1738</v>
      </c>
      <c r="B191" t="str">
        <f>VLOOKUP(D191,pgc_pyme!J:M,4,FALSE)</f>
        <v>Deterioro de valor del inmovilizado material</v>
      </c>
      <c r="C191" t="s">
        <v>2739</v>
      </c>
      <c r="D191" t="s">
        <v>2738</v>
      </c>
      <c r="E191">
        <v>0</v>
      </c>
      <c r="G191" t="s">
        <v>1578</v>
      </c>
    </row>
    <row r="192" spans="1:7" x14ac:dyDescent="0.25">
      <c r="A192" t="s">
        <v>1739</v>
      </c>
      <c r="B192" t="str">
        <f>VLOOKUP(D192,pgc_pyme!J:M,4,FALSE)</f>
        <v>Deterioro de valor del inmovilizado material</v>
      </c>
      <c r="C192" t="s">
        <v>2740</v>
      </c>
      <c r="D192" t="s">
        <v>2738</v>
      </c>
      <c r="E192">
        <v>0</v>
      </c>
      <c r="G192" t="s">
        <v>1578</v>
      </c>
    </row>
    <row r="193" spans="1:7" x14ac:dyDescent="0.25">
      <c r="A193" t="s">
        <v>1740</v>
      </c>
      <c r="B193" t="str">
        <f>VLOOKUP(D193,pgc_pyme!J:M,4,FALSE)</f>
        <v>Deterioro de valor del inmovilizado material</v>
      </c>
      <c r="C193" t="s">
        <v>2741</v>
      </c>
      <c r="D193" t="s">
        <v>2738</v>
      </c>
      <c r="E193">
        <v>0</v>
      </c>
      <c r="G193" t="s">
        <v>1578</v>
      </c>
    </row>
    <row r="194" spans="1:7" x14ac:dyDescent="0.25">
      <c r="A194" t="s">
        <v>1741</v>
      </c>
      <c r="B194" t="str">
        <f>VLOOKUP(D194,pgc_pyme!J:M,4,FALSE)</f>
        <v>Deterioro de valor del inmovilizado material</v>
      </c>
      <c r="C194" t="s">
        <v>2742</v>
      </c>
      <c r="D194" t="s">
        <v>2738</v>
      </c>
      <c r="E194">
        <v>0</v>
      </c>
      <c r="G194" t="s">
        <v>1578</v>
      </c>
    </row>
    <row r="195" spans="1:7" x14ac:dyDescent="0.25">
      <c r="A195" t="s">
        <v>1742</v>
      </c>
      <c r="B195" t="str">
        <f>VLOOKUP(D195,pgc_pyme!J:M,4,FALSE)</f>
        <v>Deterioro de valor del inmovilizado material</v>
      </c>
      <c r="C195" t="s">
        <v>2743</v>
      </c>
      <c r="D195" t="s">
        <v>2738</v>
      </c>
      <c r="E195">
        <v>0</v>
      </c>
      <c r="G195" t="s">
        <v>1578</v>
      </c>
    </row>
    <row r="196" spans="1:7" x14ac:dyDescent="0.25">
      <c r="A196" t="s">
        <v>1743</v>
      </c>
      <c r="B196" t="str">
        <f>VLOOKUP(D196,pgc_pyme!J:M,4,FALSE)</f>
        <v>Deterioro de valor del inmovilizado material</v>
      </c>
      <c r="C196" t="s">
        <v>2744</v>
      </c>
      <c r="D196" t="s">
        <v>2738</v>
      </c>
      <c r="E196">
        <v>0</v>
      </c>
      <c r="G196" t="s">
        <v>1578</v>
      </c>
    </row>
    <row r="197" spans="1:7" x14ac:dyDescent="0.25">
      <c r="A197" t="s">
        <v>1744</v>
      </c>
      <c r="B197" t="str">
        <f>VLOOKUP(D197,pgc_pyme!J:M,4,FALSE)</f>
        <v>Deterioro de valor del inmovilizado material</v>
      </c>
      <c r="C197" t="s">
        <v>2745</v>
      </c>
      <c r="D197" t="s">
        <v>2738</v>
      </c>
      <c r="E197">
        <v>0</v>
      </c>
      <c r="G197" t="s">
        <v>1578</v>
      </c>
    </row>
    <row r="198" spans="1:7" x14ac:dyDescent="0.25">
      <c r="A198" t="s">
        <v>1745</v>
      </c>
      <c r="B198" t="str">
        <f>VLOOKUP(D198,pgc_pyme!J:M,4,FALSE)</f>
        <v>Deterioro de valor del inmovilizado material</v>
      </c>
      <c r="C198" t="s">
        <v>2746</v>
      </c>
      <c r="D198" t="s">
        <v>2738</v>
      </c>
      <c r="E198">
        <v>0</v>
      </c>
      <c r="G198" t="s">
        <v>1578</v>
      </c>
    </row>
    <row r="199" spans="1:7" x14ac:dyDescent="0.25">
      <c r="A199" t="s">
        <v>1746</v>
      </c>
      <c r="B199" t="str">
        <f>VLOOKUP(D199,pgc_pyme!J:M,4,FALSE)</f>
        <v>Deterioro de valor del inmovilizado material</v>
      </c>
      <c r="C199" t="s">
        <v>2747</v>
      </c>
      <c r="D199" t="s">
        <v>2738</v>
      </c>
      <c r="E199">
        <v>0</v>
      </c>
      <c r="G199" t="s">
        <v>1578</v>
      </c>
    </row>
    <row r="200" spans="1:7" x14ac:dyDescent="0.25">
      <c r="A200" t="s">
        <v>1747</v>
      </c>
      <c r="B200" t="str">
        <f>VLOOKUP(D200,pgc_pyme!J:M,4,FALSE)</f>
        <v>Deterioro de valor del inmovilizado material</v>
      </c>
      <c r="C200" t="s">
        <v>2748</v>
      </c>
      <c r="D200" t="s">
        <v>2738</v>
      </c>
      <c r="E200">
        <v>0</v>
      </c>
      <c r="G200" t="s">
        <v>1578</v>
      </c>
    </row>
    <row r="201" spans="1:7" x14ac:dyDescent="0.25">
      <c r="A201" t="s">
        <v>1748</v>
      </c>
      <c r="B201" t="str">
        <f>VLOOKUP(D201,pgc_pyme!J:M,4,FALSE)</f>
        <v>Inversiones inmobiliarias</v>
      </c>
      <c r="C201" t="s">
        <v>2749</v>
      </c>
      <c r="D201" t="s">
        <v>2655</v>
      </c>
      <c r="E201">
        <v>1</v>
      </c>
      <c r="G201" t="s">
        <v>1578</v>
      </c>
    </row>
    <row r="202" spans="1:7" x14ac:dyDescent="0.25">
      <c r="A202" t="s">
        <v>1749</v>
      </c>
      <c r="B202" t="str">
        <f>VLOOKUP(D202,pgc_pyme!J:M,4,FALSE)</f>
        <v>Deterioro de valor de las inversiones inmobiliarias</v>
      </c>
      <c r="C202" t="s">
        <v>2750</v>
      </c>
      <c r="D202" t="s">
        <v>2749</v>
      </c>
      <c r="E202">
        <v>0</v>
      </c>
      <c r="G202" t="s">
        <v>1578</v>
      </c>
    </row>
    <row r="203" spans="1:7" x14ac:dyDescent="0.25">
      <c r="A203" t="s">
        <v>1739</v>
      </c>
      <c r="B203" t="str">
        <f>VLOOKUP(D203,pgc_pyme!J:M,4,FALSE)</f>
        <v>Deterioro de valor de las inversiones inmobiliarias</v>
      </c>
      <c r="C203" t="s">
        <v>2751</v>
      </c>
      <c r="D203" t="s">
        <v>2749</v>
      </c>
      <c r="E203">
        <v>0</v>
      </c>
      <c r="G203" t="s">
        <v>1578</v>
      </c>
    </row>
    <row r="204" spans="1:7" x14ac:dyDescent="0.25">
      <c r="A204" t="s">
        <v>1750</v>
      </c>
      <c r="B204" t="str">
        <f>VLOOKUP(D204,pgc_pyme!J:M,4,FALSE)</f>
        <v>Inversiones en empresas del grupo y asociadas a largo plazo</v>
      </c>
      <c r="C204" t="s">
        <v>2939</v>
      </c>
      <c r="D204" t="s">
        <v>2656</v>
      </c>
      <c r="E204">
        <v>0</v>
      </c>
      <c r="G204" t="s">
        <v>1578</v>
      </c>
    </row>
    <row r="205" spans="1:7" x14ac:dyDescent="0.25">
      <c r="A205" t="s">
        <v>1751</v>
      </c>
      <c r="B205" t="str">
        <f>VLOOKUP(D205,pgc_pyme!J:M,4,FALSE)</f>
        <v>Inversiones en empresas del grupo y asociadas a largo plazo</v>
      </c>
      <c r="C205" t="s">
        <v>2940</v>
      </c>
      <c r="D205" t="s">
        <v>2656</v>
      </c>
      <c r="E205">
        <v>0</v>
      </c>
      <c r="G205" t="s">
        <v>1578</v>
      </c>
    </row>
    <row r="206" spans="1:7" x14ac:dyDescent="0.25">
      <c r="A206" t="s">
        <v>2570</v>
      </c>
      <c r="B206" t="str">
        <f>VLOOKUP(D206,pgc_pyme!J:M,4,FALSE)</f>
        <v>Inversiones financieras a largo plazo</v>
      </c>
      <c r="C206" t="s">
        <v>2941</v>
      </c>
      <c r="D206" t="s">
        <v>2657</v>
      </c>
      <c r="E206">
        <v>0</v>
      </c>
      <c r="G206" t="s">
        <v>1578</v>
      </c>
    </row>
    <row r="207" spans="1:7" x14ac:dyDescent="0.25">
      <c r="A207" t="s">
        <v>1752</v>
      </c>
      <c r="B207" t="str">
        <f>VLOOKUP(D207,pgc_pyme!J:M,4,FALSE)</f>
        <v>Inversiones en empresas del grupo y asociadas a largo plazo</v>
      </c>
      <c r="C207" t="s">
        <v>2942</v>
      </c>
      <c r="D207" t="s">
        <v>2656</v>
      </c>
      <c r="E207">
        <v>0</v>
      </c>
      <c r="G207" t="s">
        <v>1578</v>
      </c>
    </row>
    <row r="208" spans="1:7" x14ac:dyDescent="0.25">
      <c r="A208" t="s">
        <v>1753</v>
      </c>
      <c r="B208" t="str">
        <f>VLOOKUP(D208,pgc_pyme!J:M,4,FALSE)</f>
        <v>Inversiones en empresas del grupo y asociadas a largo plazo</v>
      </c>
      <c r="C208" t="s">
        <v>2943</v>
      </c>
      <c r="D208" t="s">
        <v>2656</v>
      </c>
      <c r="E208">
        <v>0</v>
      </c>
      <c r="G208" t="s">
        <v>1578</v>
      </c>
    </row>
    <row r="209" spans="1:7" x14ac:dyDescent="0.25">
      <c r="A209" t="s">
        <v>1754</v>
      </c>
      <c r="B209" t="str">
        <f>VLOOKUP(D209,pgc_pyme!J:M,4,FALSE)</f>
        <v>Inversiones financieras a largo plazo</v>
      </c>
      <c r="C209" t="s">
        <v>2944</v>
      </c>
      <c r="D209" t="s">
        <v>2657</v>
      </c>
      <c r="E209">
        <v>0</v>
      </c>
      <c r="G209" t="s">
        <v>1578</v>
      </c>
    </row>
    <row r="210" spans="1:7" x14ac:dyDescent="0.25">
      <c r="A210" t="s">
        <v>1755</v>
      </c>
      <c r="B210" t="str">
        <f>VLOOKUP(D210,pgc_pyme!J:M,4,FALSE)</f>
        <v>Inversiones en empresas del grupo y asociadas a largo plazo</v>
      </c>
      <c r="C210" t="s">
        <v>2945</v>
      </c>
      <c r="D210" t="s">
        <v>2656</v>
      </c>
      <c r="E210">
        <v>0</v>
      </c>
      <c r="G210" t="s">
        <v>1578</v>
      </c>
    </row>
    <row r="211" spans="1:7" x14ac:dyDescent="0.25">
      <c r="A211" t="s">
        <v>1756</v>
      </c>
      <c r="B211" t="str">
        <f>VLOOKUP(D211,pgc_pyme!J:M,4,FALSE)</f>
        <v>Inversiones financieras a largo plazo</v>
      </c>
      <c r="C211" t="s">
        <v>2946</v>
      </c>
      <c r="D211" t="s">
        <v>2657</v>
      </c>
      <c r="E211">
        <v>0</v>
      </c>
      <c r="G211" t="s">
        <v>1578</v>
      </c>
    </row>
    <row r="212" spans="1:7" x14ac:dyDescent="0.25">
      <c r="A212" t="s">
        <v>1757</v>
      </c>
      <c r="B212" t="str">
        <f>VLOOKUP(D212,pgc_pyme!J:M,4,FALSE)</f>
        <v>Inversiones financieras a largo plazo</v>
      </c>
      <c r="C212" t="s">
        <v>2947</v>
      </c>
      <c r="D212" t="s">
        <v>2657</v>
      </c>
      <c r="E212">
        <v>0</v>
      </c>
      <c r="G212" t="s">
        <v>1578</v>
      </c>
    </row>
    <row r="213" spans="1:7" x14ac:dyDescent="0.25">
      <c r="A213" t="s">
        <v>2571</v>
      </c>
      <c r="B213" t="str">
        <f>VLOOKUP(D213,pgc_pyme!J:M,4,FALSE)</f>
        <v>Inversiones financieras a largo plazo</v>
      </c>
      <c r="C213" t="s">
        <v>2948</v>
      </c>
      <c r="D213" t="s">
        <v>2657</v>
      </c>
      <c r="E213">
        <v>0</v>
      </c>
      <c r="G213" t="s">
        <v>1578</v>
      </c>
    </row>
    <row r="214" spans="1:7" x14ac:dyDescent="0.25">
      <c r="A214" t="s">
        <v>1758</v>
      </c>
      <c r="B214" t="str">
        <f>VLOOKUP(D214,pgc_pyme!J:M,4,FALSE)</f>
        <v>Inversiones financieras a largo plazo</v>
      </c>
      <c r="C214" t="s">
        <v>2949</v>
      </c>
      <c r="D214" t="s">
        <v>2657</v>
      </c>
      <c r="E214">
        <v>0</v>
      </c>
      <c r="G214" t="s">
        <v>1578</v>
      </c>
    </row>
    <row r="215" spans="1:7" x14ac:dyDescent="0.25">
      <c r="A215" t="s">
        <v>1759</v>
      </c>
      <c r="B215" t="str">
        <f>VLOOKUP(D215,pgc_pyme!J:M,4,FALSE)</f>
        <v>Inversiones financieras a largo plazo</v>
      </c>
      <c r="C215" t="s">
        <v>2950</v>
      </c>
      <c r="D215" t="s">
        <v>2657</v>
      </c>
      <c r="E215">
        <v>0</v>
      </c>
      <c r="G215" t="s">
        <v>1578</v>
      </c>
    </row>
    <row r="216" spans="1:7" x14ac:dyDescent="0.25">
      <c r="A216" t="s">
        <v>3073</v>
      </c>
      <c r="B216" t="str">
        <f>VLOOKUP(D216,pgc_pyme!J:M,4,FALSE)</f>
        <v>Existencias</v>
      </c>
      <c r="C216" t="s">
        <v>2752</v>
      </c>
      <c r="D216" t="s">
        <v>2587</v>
      </c>
      <c r="E216">
        <v>1</v>
      </c>
      <c r="F216" t="s">
        <v>1593</v>
      </c>
      <c r="G216" t="s">
        <v>1578</v>
      </c>
    </row>
    <row r="217" spans="1:7" x14ac:dyDescent="0.25">
      <c r="A217" t="s">
        <v>1760</v>
      </c>
      <c r="B217" t="str">
        <f>VLOOKUP(D217,pgc_pyme!J:M,4,FALSE)</f>
        <v>Comerciales</v>
      </c>
      <c r="C217" t="s">
        <v>2753</v>
      </c>
      <c r="D217" t="s">
        <v>2752</v>
      </c>
      <c r="E217">
        <v>0</v>
      </c>
      <c r="F217" t="s">
        <v>1593</v>
      </c>
      <c r="G217" t="s">
        <v>1578</v>
      </c>
    </row>
    <row r="218" spans="1:7" x14ac:dyDescent="0.25">
      <c r="A218" t="s">
        <v>1761</v>
      </c>
      <c r="B218" t="str">
        <f>VLOOKUP(D218,pgc_pyme!J:M,4,FALSE)</f>
        <v>Comerciales</v>
      </c>
      <c r="C218" t="s">
        <v>2754</v>
      </c>
      <c r="D218" t="s">
        <v>2752</v>
      </c>
      <c r="E218">
        <v>0</v>
      </c>
      <c r="F218" t="s">
        <v>1593</v>
      </c>
      <c r="G218" t="s">
        <v>1578</v>
      </c>
    </row>
    <row r="219" spans="1:7" x14ac:dyDescent="0.25">
      <c r="A219" t="s">
        <v>3074</v>
      </c>
      <c r="B219" t="str">
        <f>VLOOKUP(D219,pgc_pyme!J:M,4,FALSE)</f>
        <v>Existencias</v>
      </c>
      <c r="C219" t="s">
        <v>2755</v>
      </c>
      <c r="D219" t="s">
        <v>2587</v>
      </c>
      <c r="E219">
        <v>1</v>
      </c>
      <c r="F219" t="s">
        <v>1593</v>
      </c>
      <c r="G219" t="s">
        <v>1578</v>
      </c>
    </row>
    <row r="220" spans="1:7" x14ac:dyDescent="0.25">
      <c r="A220" t="s">
        <v>1762</v>
      </c>
      <c r="B220" t="str">
        <f>VLOOKUP(D220,pgc_pyme!J:M,4,FALSE)</f>
        <v>Materias Primas</v>
      </c>
      <c r="C220" t="s">
        <v>2756</v>
      </c>
      <c r="D220" t="s">
        <v>2755</v>
      </c>
      <c r="E220">
        <v>0</v>
      </c>
      <c r="F220" t="s">
        <v>1593</v>
      </c>
      <c r="G220" t="s">
        <v>1578</v>
      </c>
    </row>
    <row r="221" spans="1:7" x14ac:dyDescent="0.25">
      <c r="A221" t="s">
        <v>1763</v>
      </c>
      <c r="B221" t="str">
        <f>VLOOKUP(D221,pgc_pyme!J:M,4,FALSE)</f>
        <v>Materias Primas</v>
      </c>
      <c r="C221" t="s">
        <v>2757</v>
      </c>
      <c r="D221" t="s">
        <v>2755</v>
      </c>
      <c r="E221">
        <v>0</v>
      </c>
      <c r="F221" t="s">
        <v>1593</v>
      </c>
      <c r="G221" t="s">
        <v>1578</v>
      </c>
    </row>
    <row r="222" spans="1:7" x14ac:dyDescent="0.25">
      <c r="A222" t="s">
        <v>3075</v>
      </c>
      <c r="B222" t="str">
        <f>VLOOKUP(D222,pgc_pyme!J:M,4,FALSE)</f>
        <v>Existencias</v>
      </c>
      <c r="C222" t="s">
        <v>2758</v>
      </c>
      <c r="D222" t="s">
        <v>2587</v>
      </c>
      <c r="E222">
        <v>1</v>
      </c>
      <c r="F222" t="s">
        <v>1593</v>
      </c>
      <c r="G222" t="s">
        <v>1578</v>
      </c>
    </row>
    <row r="223" spans="1:7" x14ac:dyDescent="0.25">
      <c r="A223" t="s">
        <v>1764</v>
      </c>
      <c r="B223" t="str">
        <f>VLOOKUP(D223,pgc_pyme!J:M,4,FALSE)</f>
        <v>Otros Aprovisionamientos</v>
      </c>
      <c r="C223" t="s">
        <v>2759</v>
      </c>
      <c r="D223" t="s">
        <v>2758</v>
      </c>
      <c r="E223">
        <v>0</v>
      </c>
      <c r="F223" t="s">
        <v>1593</v>
      </c>
      <c r="G223" t="s">
        <v>1578</v>
      </c>
    </row>
    <row r="224" spans="1:7" x14ac:dyDescent="0.25">
      <c r="A224" t="s">
        <v>1765</v>
      </c>
      <c r="B224" t="str">
        <f>VLOOKUP(D224,pgc_pyme!J:M,4,FALSE)</f>
        <v>Otros Aprovisionamientos</v>
      </c>
      <c r="C224" t="s">
        <v>2760</v>
      </c>
      <c r="D224" t="s">
        <v>2758</v>
      </c>
      <c r="E224">
        <v>0</v>
      </c>
      <c r="F224" t="s">
        <v>1593</v>
      </c>
      <c r="G224" t="s">
        <v>1578</v>
      </c>
    </row>
    <row r="225" spans="1:7" x14ac:dyDescent="0.25">
      <c r="A225" t="s">
        <v>1766</v>
      </c>
      <c r="B225" t="str">
        <f>VLOOKUP(D225,pgc_pyme!J:M,4,FALSE)</f>
        <v>Otros Aprovisionamientos</v>
      </c>
      <c r="C225" t="s">
        <v>2761</v>
      </c>
      <c r="D225" t="s">
        <v>2758</v>
      </c>
      <c r="E225">
        <v>0</v>
      </c>
      <c r="F225" t="s">
        <v>1593</v>
      </c>
      <c r="G225" t="s">
        <v>1578</v>
      </c>
    </row>
    <row r="226" spans="1:7" x14ac:dyDescent="0.25">
      <c r="A226" t="s">
        <v>1767</v>
      </c>
      <c r="B226" t="str">
        <f>VLOOKUP(D226,pgc_pyme!J:M,4,FALSE)</f>
        <v>Otros Aprovisionamientos</v>
      </c>
      <c r="C226" t="s">
        <v>2762</v>
      </c>
      <c r="D226" t="s">
        <v>2758</v>
      </c>
      <c r="E226">
        <v>0</v>
      </c>
      <c r="F226" t="s">
        <v>1593</v>
      </c>
      <c r="G226" t="s">
        <v>1578</v>
      </c>
    </row>
    <row r="227" spans="1:7" x14ac:dyDescent="0.25">
      <c r="A227" t="s">
        <v>1768</v>
      </c>
      <c r="B227" t="str">
        <f>VLOOKUP(D227,pgc_pyme!J:M,4,FALSE)</f>
        <v>Otros Aprovisionamientos</v>
      </c>
      <c r="C227" t="s">
        <v>2763</v>
      </c>
      <c r="D227" t="s">
        <v>2758</v>
      </c>
      <c r="E227">
        <v>0</v>
      </c>
      <c r="F227" t="s">
        <v>1593</v>
      </c>
      <c r="G227" t="s">
        <v>1578</v>
      </c>
    </row>
    <row r="228" spans="1:7" x14ac:dyDescent="0.25">
      <c r="A228" t="s">
        <v>1769</v>
      </c>
      <c r="B228" t="str">
        <f>VLOOKUP(D228,pgc_pyme!J:M,4,FALSE)</f>
        <v>Otros Aprovisionamientos</v>
      </c>
      <c r="C228" t="s">
        <v>2764</v>
      </c>
      <c r="D228" t="s">
        <v>2758</v>
      </c>
      <c r="E228">
        <v>0</v>
      </c>
      <c r="F228" t="s">
        <v>1593</v>
      </c>
      <c r="G228" t="s">
        <v>1578</v>
      </c>
    </row>
    <row r="229" spans="1:7" x14ac:dyDescent="0.25">
      <c r="A229" t="s">
        <v>1770</v>
      </c>
      <c r="B229" t="str">
        <f>VLOOKUP(D229,pgc_pyme!J:M,4,FALSE)</f>
        <v>Otros Aprovisionamientos</v>
      </c>
      <c r="C229" t="s">
        <v>2765</v>
      </c>
      <c r="D229" t="s">
        <v>2758</v>
      </c>
      <c r="E229">
        <v>0</v>
      </c>
      <c r="F229" t="s">
        <v>1593</v>
      </c>
      <c r="G229" t="s">
        <v>1578</v>
      </c>
    </row>
    <row r="230" spans="1:7" x14ac:dyDescent="0.25">
      <c r="A230" t="s">
        <v>3076</v>
      </c>
      <c r="B230" t="str">
        <f>VLOOKUP(D230,pgc_pyme!J:M,4,FALSE)</f>
        <v>Existencias</v>
      </c>
      <c r="C230" t="s">
        <v>2766</v>
      </c>
      <c r="D230" t="s">
        <v>2587</v>
      </c>
      <c r="E230">
        <v>1</v>
      </c>
      <c r="F230" t="s">
        <v>1593</v>
      </c>
      <c r="G230" t="s">
        <v>1578</v>
      </c>
    </row>
    <row r="231" spans="1:7" x14ac:dyDescent="0.25">
      <c r="A231" t="s">
        <v>1771</v>
      </c>
      <c r="B231" t="str">
        <f>VLOOKUP(D231,pgc_pyme!J:M,4,FALSE)</f>
        <v>Productos en Curso</v>
      </c>
      <c r="C231" t="s">
        <v>2767</v>
      </c>
      <c r="D231" t="s">
        <v>2766</v>
      </c>
      <c r="E231">
        <v>0</v>
      </c>
      <c r="F231" t="s">
        <v>1593</v>
      </c>
      <c r="G231" t="s">
        <v>1578</v>
      </c>
    </row>
    <row r="232" spans="1:7" x14ac:dyDescent="0.25">
      <c r="A232" t="s">
        <v>1772</v>
      </c>
      <c r="B232" t="str">
        <f>VLOOKUP(D232,pgc_pyme!J:M,4,FALSE)</f>
        <v>Productos en Curso</v>
      </c>
      <c r="C232" t="s">
        <v>2768</v>
      </c>
      <c r="D232" t="s">
        <v>2766</v>
      </c>
      <c r="E232">
        <v>0</v>
      </c>
      <c r="F232" t="s">
        <v>1593</v>
      </c>
      <c r="G232" t="s">
        <v>1578</v>
      </c>
    </row>
    <row r="233" spans="1:7" x14ac:dyDescent="0.25">
      <c r="A233" t="s">
        <v>3077</v>
      </c>
      <c r="B233" t="str">
        <f>VLOOKUP(D233,pgc_pyme!J:M,4,FALSE)</f>
        <v>Existencias</v>
      </c>
      <c r="C233" t="s">
        <v>2769</v>
      </c>
      <c r="D233" t="s">
        <v>2587</v>
      </c>
      <c r="E233">
        <v>1</v>
      </c>
      <c r="F233" t="s">
        <v>1593</v>
      </c>
      <c r="G233" t="s">
        <v>1578</v>
      </c>
    </row>
    <row r="234" spans="1:7" x14ac:dyDescent="0.25">
      <c r="A234" t="s">
        <v>1773</v>
      </c>
      <c r="B234" t="str">
        <f>VLOOKUP(D234,pgc_pyme!J:M,4,FALSE)</f>
        <v>Productos Semiterminados</v>
      </c>
      <c r="C234" t="s">
        <v>2770</v>
      </c>
      <c r="D234" t="s">
        <v>2769</v>
      </c>
      <c r="E234">
        <v>0</v>
      </c>
      <c r="F234" t="s">
        <v>1593</v>
      </c>
      <c r="G234" t="s">
        <v>1578</v>
      </c>
    </row>
    <row r="235" spans="1:7" x14ac:dyDescent="0.25">
      <c r="A235" t="s">
        <v>1774</v>
      </c>
      <c r="B235" t="str">
        <f>VLOOKUP(D235,pgc_pyme!J:M,4,FALSE)</f>
        <v>Productos Semiterminados</v>
      </c>
      <c r="C235" t="s">
        <v>2771</v>
      </c>
      <c r="D235" t="s">
        <v>2769</v>
      </c>
      <c r="E235">
        <v>0</v>
      </c>
      <c r="F235" t="s">
        <v>1593</v>
      </c>
      <c r="G235" t="s">
        <v>1578</v>
      </c>
    </row>
    <row r="236" spans="1:7" x14ac:dyDescent="0.25">
      <c r="A236" t="s">
        <v>3078</v>
      </c>
      <c r="B236" t="str">
        <f>VLOOKUP(D236,pgc_pyme!J:M,4,FALSE)</f>
        <v>Existencias</v>
      </c>
      <c r="C236" t="s">
        <v>2772</v>
      </c>
      <c r="D236" t="s">
        <v>2587</v>
      </c>
      <c r="E236">
        <v>1</v>
      </c>
      <c r="F236" t="s">
        <v>1593</v>
      </c>
      <c r="G236" t="s">
        <v>1578</v>
      </c>
    </row>
    <row r="237" spans="1:7" x14ac:dyDescent="0.25">
      <c r="A237" t="s">
        <v>1775</v>
      </c>
      <c r="B237" t="str">
        <f>VLOOKUP(D237,pgc_pyme!J:M,4,FALSE)</f>
        <v>Productos Terminados</v>
      </c>
      <c r="C237" t="s">
        <v>2773</v>
      </c>
      <c r="D237" t="s">
        <v>2772</v>
      </c>
      <c r="E237">
        <v>0</v>
      </c>
      <c r="F237" t="s">
        <v>1593</v>
      </c>
      <c r="G237" t="s">
        <v>1578</v>
      </c>
    </row>
    <row r="238" spans="1:7" x14ac:dyDescent="0.25">
      <c r="A238" t="s">
        <v>1776</v>
      </c>
      <c r="B238" t="str">
        <f>VLOOKUP(D238,pgc_pyme!J:M,4,FALSE)</f>
        <v>Productos Terminados</v>
      </c>
      <c r="C238" t="s">
        <v>2774</v>
      </c>
      <c r="D238" t="s">
        <v>2772</v>
      </c>
      <c r="E238">
        <v>0</v>
      </c>
      <c r="F238" t="s">
        <v>1593</v>
      </c>
      <c r="G238" t="s">
        <v>1578</v>
      </c>
    </row>
    <row r="239" spans="1:7" x14ac:dyDescent="0.25">
      <c r="A239" t="s">
        <v>3060</v>
      </c>
      <c r="B239" t="str">
        <f>VLOOKUP(D239,pgc_pyme!J:M,4,FALSE)</f>
        <v>Existencias</v>
      </c>
      <c r="C239" t="s">
        <v>2775</v>
      </c>
      <c r="D239" t="s">
        <v>2587</v>
      </c>
      <c r="E239">
        <v>1</v>
      </c>
      <c r="F239" t="s">
        <v>1593</v>
      </c>
      <c r="G239" t="s">
        <v>1578</v>
      </c>
    </row>
    <row r="240" spans="1:7" x14ac:dyDescent="0.25">
      <c r="A240" t="s">
        <v>1777</v>
      </c>
      <c r="B240" t="str">
        <f>VLOOKUP(D240,pgc_pyme!J:M,4,FALSE)</f>
        <v>Subproductos, Residuos y Materiales Recuperados</v>
      </c>
      <c r="C240" t="s">
        <v>2776</v>
      </c>
      <c r="D240" t="s">
        <v>2775</v>
      </c>
      <c r="E240">
        <v>0</v>
      </c>
      <c r="F240" t="s">
        <v>1593</v>
      </c>
      <c r="G240" t="s">
        <v>1578</v>
      </c>
    </row>
    <row r="241" spans="1:7" x14ac:dyDescent="0.25">
      <c r="A241" t="s">
        <v>1778</v>
      </c>
      <c r="B241" t="str">
        <f>VLOOKUP(D241,pgc_pyme!J:M,4,FALSE)</f>
        <v>Subproductos, Residuos y Materiales Recuperados</v>
      </c>
      <c r="C241" t="s">
        <v>2777</v>
      </c>
      <c r="D241" t="s">
        <v>2775</v>
      </c>
      <c r="E241">
        <v>0</v>
      </c>
      <c r="F241" t="s">
        <v>1593</v>
      </c>
      <c r="G241" t="s">
        <v>1578</v>
      </c>
    </row>
    <row r="242" spans="1:7" x14ac:dyDescent="0.25">
      <c r="A242" t="s">
        <v>1779</v>
      </c>
      <c r="B242" t="str">
        <f>VLOOKUP(D242,pgc_pyme!J:M,4,FALSE)</f>
        <v>Subproductos, Residuos y Materiales Recuperados</v>
      </c>
      <c r="C242" t="s">
        <v>2778</v>
      </c>
      <c r="D242" t="s">
        <v>2775</v>
      </c>
      <c r="E242">
        <v>0</v>
      </c>
      <c r="F242" t="s">
        <v>1593</v>
      </c>
      <c r="G242" t="s">
        <v>1578</v>
      </c>
    </row>
    <row r="243" spans="1:7" x14ac:dyDescent="0.25">
      <c r="A243" t="s">
        <v>1780</v>
      </c>
      <c r="B243" t="str">
        <f>VLOOKUP(D243,pgc_pyme!J:M,4,FALSE)</f>
        <v>Subproductos, Residuos y Materiales Recuperados</v>
      </c>
      <c r="C243" t="s">
        <v>2779</v>
      </c>
      <c r="D243" t="s">
        <v>2775</v>
      </c>
      <c r="E243">
        <v>0</v>
      </c>
      <c r="F243" t="s">
        <v>1593</v>
      </c>
      <c r="G243" t="s">
        <v>1578</v>
      </c>
    </row>
    <row r="244" spans="1:7" x14ac:dyDescent="0.25">
      <c r="A244" t="s">
        <v>1781</v>
      </c>
      <c r="B244" t="str">
        <f>VLOOKUP(D244,pgc_pyme!J:M,4,FALSE)</f>
        <v>Subproductos, Residuos y Materiales Recuperados</v>
      </c>
      <c r="C244" t="s">
        <v>2780</v>
      </c>
      <c r="D244" t="s">
        <v>2775</v>
      </c>
      <c r="E244">
        <v>0</v>
      </c>
      <c r="F244" t="s">
        <v>1593</v>
      </c>
      <c r="G244" t="s">
        <v>1578</v>
      </c>
    </row>
    <row r="245" spans="1:7" x14ac:dyDescent="0.25">
      <c r="A245" t="s">
        <v>1782</v>
      </c>
      <c r="B245" t="str">
        <f>VLOOKUP(D245,pgc_pyme!J:M,4,FALSE)</f>
        <v>Subproductos, Residuos y Materiales Recuperados</v>
      </c>
      <c r="C245" t="s">
        <v>2781</v>
      </c>
      <c r="D245" t="s">
        <v>2775</v>
      </c>
      <c r="E245">
        <v>0</v>
      </c>
      <c r="F245" t="s">
        <v>1593</v>
      </c>
      <c r="G245" t="s">
        <v>1578</v>
      </c>
    </row>
    <row r="246" spans="1:7" x14ac:dyDescent="0.25">
      <c r="A246" t="s">
        <v>3061</v>
      </c>
      <c r="B246" t="str">
        <f>VLOOKUP(D246,pgc_pyme!J:M,4,FALSE)</f>
        <v>Existencias</v>
      </c>
      <c r="C246" t="s">
        <v>2782</v>
      </c>
      <c r="D246" t="s">
        <v>2587</v>
      </c>
      <c r="E246">
        <v>1</v>
      </c>
      <c r="F246" t="s">
        <v>1593</v>
      </c>
      <c r="G246" t="s">
        <v>1578</v>
      </c>
    </row>
    <row r="247" spans="1:7" x14ac:dyDescent="0.25">
      <c r="A247" t="s">
        <v>1783</v>
      </c>
      <c r="B247" t="str">
        <f>VLOOKUP(D247,pgc_pyme!J:M,4,FALSE)</f>
        <v>Deterioro de Valor de Las existencias</v>
      </c>
      <c r="C247" t="s">
        <v>2783</v>
      </c>
      <c r="D247" t="s">
        <v>2782</v>
      </c>
      <c r="E247">
        <v>0</v>
      </c>
      <c r="F247" t="s">
        <v>1593</v>
      </c>
      <c r="G247" t="s">
        <v>1578</v>
      </c>
    </row>
    <row r="248" spans="1:7" x14ac:dyDescent="0.25">
      <c r="A248" t="s">
        <v>1784</v>
      </c>
      <c r="B248" t="str">
        <f>VLOOKUP(D248,pgc_pyme!J:M,4,FALSE)</f>
        <v>Deterioro de Valor de Las existencias</v>
      </c>
      <c r="C248" t="s">
        <v>2784</v>
      </c>
      <c r="D248" t="s">
        <v>2782</v>
      </c>
      <c r="E248">
        <v>0</v>
      </c>
      <c r="F248" t="s">
        <v>1593</v>
      </c>
      <c r="G248" t="s">
        <v>1578</v>
      </c>
    </row>
    <row r="249" spans="1:7" x14ac:dyDescent="0.25">
      <c r="A249" t="s">
        <v>1785</v>
      </c>
      <c r="B249" t="str">
        <f>VLOOKUP(D249,pgc_pyme!J:M,4,FALSE)</f>
        <v>Deterioro de Valor de Las existencias</v>
      </c>
      <c r="C249" t="s">
        <v>2785</v>
      </c>
      <c r="D249" t="s">
        <v>2782</v>
      </c>
      <c r="E249">
        <v>0</v>
      </c>
      <c r="F249" t="s">
        <v>1593</v>
      </c>
      <c r="G249" t="s">
        <v>1578</v>
      </c>
    </row>
    <row r="250" spans="1:7" x14ac:dyDescent="0.25">
      <c r="A250" t="s">
        <v>1786</v>
      </c>
      <c r="B250" t="str">
        <f>VLOOKUP(D250,pgc_pyme!J:M,4,FALSE)</f>
        <v>Deterioro de Valor de Las existencias</v>
      </c>
      <c r="C250" t="s">
        <v>2786</v>
      </c>
      <c r="D250" t="s">
        <v>2782</v>
      </c>
      <c r="E250">
        <v>0</v>
      </c>
      <c r="F250" t="s">
        <v>1593</v>
      </c>
      <c r="G250" t="s">
        <v>1578</v>
      </c>
    </row>
    <row r="251" spans="1:7" x14ac:dyDescent="0.25">
      <c r="A251" t="s">
        <v>1787</v>
      </c>
      <c r="B251" t="str">
        <f>VLOOKUP(D251,pgc_pyme!J:M,4,FALSE)</f>
        <v>Deterioro de Valor de Las existencias</v>
      </c>
      <c r="C251" t="s">
        <v>2787</v>
      </c>
      <c r="D251" t="s">
        <v>2782</v>
      </c>
      <c r="E251">
        <v>0</v>
      </c>
      <c r="F251" t="s">
        <v>1593</v>
      </c>
      <c r="G251" t="s">
        <v>1578</v>
      </c>
    </row>
    <row r="252" spans="1:7" x14ac:dyDescent="0.25">
      <c r="A252" t="s">
        <v>1788</v>
      </c>
      <c r="B252" t="str">
        <f>VLOOKUP(D252,pgc_pyme!J:M,4,FALSE)</f>
        <v>Deterioro de Valor de Las existencias</v>
      </c>
      <c r="C252" t="s">
        <v>2788</v>
      </c>
      <c r="D252" t="s">
        <v>2782</v>
      </c>
      <c r="E252">
        <v>0</v>
      </c>
      <c r="F252" t="s">
        <v>1593</v>
      </c>
      <c r="G252" t="s">
        <v>1578</v>
      </c>
    </row>
    <row r="253" spans="1:7" x14ac:dyDescent="0.25">
      <c r="A253" t="s">
        <v>1789</v>
      </c>
      <c r="B253" t="str">
        <f>VLOOKUP(D253,pgc_pyme!J:M,4,FALSE)</f>
        <v>Deterioro de Valor de Las existencias</v>
      </c>
      <c r="C253" t="s">
        <v>2789</v>
      </c>
      <c r="D253" t="s">
        <v>2782</v>
      </c>
      <c r="E253">
        <v>0</v>
      </c>
      <c r="F253" t="s">
        <v>1593</v>
      </c>
      <c r="G253" t="s">
        <v>1578</v>
      </c>
    </row>
    <row r="254" spans="1:7" x14ac:dyDescent="0.25">
      <c r="A254" t="s">
        <v>1790</v>
      </c>
      <c r="B254" t="str">
        <f>VLOOKUP(D254,pgc_pyme!J:M,4,FALSE)</f>
        <v>Proveedores</v>
      </c>
      <c r="C254" t="s">
        <v>2272</v>
      </c>
      <c r="D254" t="s">
        <v>2648</v>
      </c>
      <c r="E254">
        <v>1</v>
      </c>
      <c r="G254" t="s">
        <v>1581</v>
      </c>
    </row>
    <row r="255" spans="1:7" x14ac:dyDescent="0.25">
      <c r="A255" t="s">
        <v>1791</v>
      </c>
      <c r="B255" t="str">
        <f>VLOOKUP(D255,pgc_pyme!J:M,4,FALSE)</f>
        <v>Proveedores</v>
      </c>
      <c r="C255" t="s">
        <v>2331</v>
      </c>
      <c r="D255" t="s">
        <v>2272</v>
      </c>
      <c r="E255">
        <v>0</v>
      </c>
      <c r="G255" t="s">
        <v>1581</v>
      </c>
    </row>
    <row r="256" spans="1:7" x14ac:dyDescent="0.25">
      <c r="A256" t="s">
        <v>1792</v>
      </c>
      <c r="B256" t="str">
        <f>VLOOKUP(D256,pgc_pyme!J:M,4,FALSE)</f>
        <v>Proveedores</v>
      </c>
      <c r="C256" t="s">
        <v>2332</v>
      </c>
      <c r="D256" t="s">
        <v>2272</v>
      </c>
      <c r="E256">
        <v>0</v>
      </c>
      <c r="G256" t="s">
        <v>1581</v>
      </c>
    </row>
    <row r="257" spans="1:7" x14ac:dyDescent="0.25">
      <c r="A257" t="s">
        <v>1793</v>
      </c>
      <c r="B257" t="str">
        <f>VLOOKUP(D257,pgc_pyme!J:M,4,FALSE)</f>
        <v>Proveedores</v>
      </c>
      <c r="C257" t="s">
        <v>2333</v>
      </c>
      <c r="D257" t="s">
        <v>2272</v>
      </c>
      <c r="E257">
        <v>0</v>
      </c>
      <c r="G257" t="s">
        <v>1581</v>
      </c>
    </row>
    <row r="258" spans="1:7" x14ac:dyDescent="0.25">
      <c r="A258" t="s">
        <v>1794</v>
      </c>
      <c r="B258" t="str">
        <f>VLOOKUP(D258,pgc_pyme!J:M,4,FALSE)</f>
        <v>Proveedores</v>
      </c>
      <c r="C258" t="s">
        <v>2951</v>
      </c>
      <c r="D258" t="s">
        <v>2648</v>
      </c>
      <c r="E258">
        <v>0</v>
      </c>
      <c r="G258" t="s">
        <v>1581</v>
      </c>
    </row>
    <row r="259" spans="1:7" x14ac:dyDescent="0.25">
      <c r="A259" t="s">
        <v>1795</v>
      </c>
      <c r="B259" t="str">
        <f>VLOOKUP(D259,pgc_pyme!J:M,4,FALSE)</f>
        <v>Proveedores</v>
      </c>
      <c r="C259" t="s">
        <v>2790</v>
      </c>
      <c r="D259" t="s">
        <v>2648</v>
      </c>
      <c r="E259">
        <v>1</v>
      </c>
      <c r="G259" t="s">
        <v>1581</v>
      </c>
    </row>
    <row r="260" spans="1:7" x14ac:dyDescent="0.25">
      <c r="A260" t="s">
        <v>1796</v>
      </c>
      <c r="B260" t="str">
        <f>VLOOKUP(D260,pgc_pyme!J:M,4,FALSE)</f>
        <v>Proveedores, empresas del grupo</v>
      </c>
      <c r="C260" t="s">
        <v>2791</v>
      </c>
      <c r="D260" t="s">
        <v>2790</v>
      </c>
      <c r="E260">
        <v>0</v>
      </c>
      <c r="G260" t="s">
        <v>1581</v>
      </c>
    </row>
    <row r="261" spans="1:7" x14ac:dyDescent="0.25">
      <c r="A261" t="s">
        <v>1797</v>
      </c>
      <c r="B261" t="str">
        <f>VLOOKUP(D261,pgc_pyme!J:M,4,FALSE)</f>
        <v>Proveedores, empresas del grupo</v>
      </c>
      <c r="C261" t="s">
        <v>2792</v>
      </c>
      <c r="D261" t="s">
        <v>2790</v>
      </c>
      <c r="E261">
        <v>0</v>
      </c>
      <c r="G261" t="s">
        <v>1581</v>
      </c>
    </row>
    <row r="262" spans="1:7" x14ac:dyDescent="0.25">
      <c r="A262" t="s">
        <v>1798</v>
      </c>
      <c r="B262" t="str">
        <f>VLOOKUP(D262,pgc_pyme!J:M,4,FALSE)</f>
        <v>Proveedores, empresas del grupo</v>
      </c>
      <c r="C262" t="s">
        <v>2793</v>
      </c>
      <c r="D262" t="s">
        <v>2790</v>
      </c>
      <c r="E262">
        <v>0</v>
      </c>
      <c r="G262" t="s">
        <v>1581</v>
      </c>
    </row>
    <row r="263" spans="1:7" x14ac:dyDescent="0.25">
      <c r="A263" t="s">
        <v>1799</v>
      </c>
      <c r="B263" t="str">
        <f>VLOOKUP(D263,pgc_pyme!J:M,4,FALSE)</f>
        <v>Proveedores, empresas del grupo</v>
      </c>
      <c r="C263" t="s">
        <v>2794</v>
      </c>
      <c r="D263" t="s">
        <v>2790</v>
      </c>
      <c r="E263">
        <v>0</v>
      </c>
      <c r="G263" t="s">
        <v>1581</v>
      </c>
    </row>
    <row r="264" spans="1:7" x14ac:dyDescent="0.25">
      <c r="A264" t="s">
        <v>1800</v>
      </c>
      <c r="B264" t="str">
        <f>VLOOKUP(D264,pgc_pyme!J:M,4,FALSE)</f>
        <v>Proveedores, empresas del grupo</v>
      </c>
      <c r="C264" t="s">
        <v>2795</v>
      </c>
      <c r="D264" t="s">
        <v>2790</v>
      </c>
      <c r="E264">
        <v>0</v>
      </c>
      <c r="G264" t="s">
        <v>1581</v>
      </c>
    </row>
    <row r="265" spans="1:7" x14ac:dyDescent="0.25">
      <c r="A265" t="s">
        <v>1801</v>
      </c>
      <c r="B265" t="str">
        <f>VLOOKUP(D265,pgc_pyme!J:M,4,FALSE)</f>
        <v>Proveedores</v>
      </c>
      <c r="C265" t="s">
        <v>2952</v>
      </c>
      <c r="D265" t="s">
        <v>2648</v>
      </c>
      <c r="E265">
        <v>0</v>
      </c>
      <c r="G265" t="s">
        <v>1581</v>
      </c>
    </row>
    <row r="266" spans="1:7" x14ac:dyDescent="0.25">
      <c r="A266" t="s">
        <v>1802</v>
      </c>
      <c r="B266" t="str">
        <f>VLOOKUP(D266,pgc_pyme!J:M,4,FALSE)</f>
        <v>Proveedores</v>
      </c>
      <c r="C266" t="s">
        <v>2953</v>
      </c>
      <c r="D266" t="s">
        <v>2648</v>
      </c>
      <c r="E266">
        <v>0</v>
      </c>
      <c r="G266" t="s">
        <v>1581</v>
      </c>
    </row>
    <row r="267" spans="1:7" x14ac:dyDescent="0.25">
      <c r="A267" t="s">
        <v>1803</v>
      </c>
      <c r="B267" t="str">
        <f>VLOOKUP(D267,pgc_pyme!J:M,4,FALSE)</f>
        <v>Proveedores</v>
      </c>
      <c r="C267" t="s">
        <v>2954</v>
      </c>
      <c r="D267" t="s">
        <v>2648</v>
      </c>
      <c r="E267">
        <v>0</v>
      </c>
      <c r="G267" t="s">
        <v>1581</v>
      </c>
    </row>
    <row r="268" spans="1:7" x14ac:dyDescent="0.25">
      <c r="A268" t="s">
        <v>1804</v>
      </c>
      <c r="B268" t="str">
        <f>VLOOKUP(D268,pgc_pyme!J:M,4,FALSE)</f>
        <v>Existencias</v>
      </c>
      <c r="C268" t="s">
        <v>2955</v>
      </c>
      <c r="D268" t="s">
        <v>2587</v>
      </c>
      <c r="E268">
        <v>0</v>
      </c>
      <c r="G268" t="s">
        <v>1581</v>
      </c>
    </row>
    <row r="269" spans="1:7" x14ac:dyDescent="0.25">
      <c r="A269" t="s">
        <v>3079</v>
      </c>
      <c r="B269" t="str">
        <f>VLOOKUP(D269,pgc_pyme!J:M,4,FALSE)</f>
        <v>Otros acreedores</v>
      </c>
      <c r="C269" t="s">
        <v>2800</v>
      </c>
      <c r="D269" t="s">
        <v>2649</v>
      </c>
      <c r="E269">
        <v>1</v>
      </c>
      <c r="G269" t="s">
        <v>1581</v>
      </c>
    </row>
    <row r="270" spans="1:7" x14ac:dyDescent="0.25">
      <c r="A270" t="s">
        <v>1805</v>
      </c>
      <c r="B270" t="str">
        <f>VLOOKUP(D270,pgc_pyme!J:M,4,FALSE)</f>
        <v>Acreedores Varios</v>
      </c>
      <c r="C270" t="s">
        <v>2796</v>
      </c>
      <c r="D270" t="s">
        <v>2800</v>
      </c>
      <c r="E270">
        <v>1</v>
      </c>
      <c r="G270" t="s">
        <v>1581</v>
      </c>
    </row>
    <row r="271" spans="1:7" x14ac:dyDescent="0.25">
      <c r="A271" t="s">
        <v>1806</v>
      </c>
      <c r="B271" t="str">
        <f>VLOOKUP(D271,pgc_pyme!J:M,4,FALSE)</f>
        <v>Acreedores por prestaciones de servicios</v>
      </c>
      <c r="C271" t="s">
        <v>2797</v>
      </c>
      <c r="D271" t="s">
        <v>2796</v>
      </c>
      <c r="E271">
        <v>0</v>
      </c>
      <c r="G271" t="s">
        <v>1581</v>
      </c>
    </row>
    <row r="272" spans="1:7" x14ac:dyDescent="0.25">
      <c r="A272" t="s">
        <v>1807</v>
      </c>
      <c r="B272" t="str">
        <f>VLOOKUP(D272,pgc_pyme!J:M,4,FALSE)</f>
        <v>Acreedores por prestaciones de servicios</v>
      </c>
      <c r="C272" t="s">
        <v>2798</v>
      </c>
      <c r="D272" t="s">
        <v>2796</v>
      </c>
      <c r="E272">
        <v>0</v>
      </c>
      <c r="G272" t="s">
        <v>1581</v>
      </c>
    </row>
    <row r="273" spans="1:7" x14ac:dyDescent="0.25">
      <c r="A273" t="s">
        <v>1808</v>
      </c>
      <c r="B273" t="str">
        <f>VLOOKUP(D273,pgc_pyme!J:M,4,FALSE)</f>
        <v>Acreedores por prestaciones de servicios</v>
      </c>
      <c r="C273" t="s">
        <v>2799</v>
      </c>
      <c r="D273" t="s">
        <v>2796</v>
      </c>
      <c r="E273">
        <v>0</v>
      </c>
      <c r="G273" t="s">
        <v>1581</v>
      </c>
    </row>
    <row r="274" spans="1:7" x14ac:dyDescent="0.25">
      <c r="A274" t="s">
        <v>1809</v>
      </c>
      <c r="B274" t="str">
        <f>VLOOKUP(D274,pgc_pyme!J:M,4,FALSE)</f>
        <v>Acreedores Varios</v>
      </c>
      <c r="C274" t="s">
        <v>2801</v>
      </c>
      <c r="D274" t="s">
        <v>2800</v>
      </c>
      <c r="E274">
        <v>0</v>
      </c>
      <c r="G274" t="s">
        <v>1581</v>
      </c>
    </row>
    <row r="275" spans="1:7" x14ac:dyDescent="0.25">
      <c r="A275" t="s">
        <v>1810</v>
      </c>
      <c r="B275" t="str">
        <f>VLOOKUP(D275,pgc_pyme!J:M,4,FALSE)</f>
        <v>Acreedores Varios</v>
      </c>
      <c r="C275" t="s">
        <v>2802</v>
      </c>
      <c r="D275" t="s">
        <v>2800</v>
      </c>
      <c r="E275">
        <v>0</v>
      </c>
      <c r="G275" t="s">
        <v>1581</v>
      </c>
    </row>
    <row r="276" spans="1:7" x14ac:dyDescent="0.25">
      <c r="A276" t="s">
        <v>1811</v>
      </c>
      <c r="B276" t="str">
        <f>VLOOKUP(D276,pgc_pyme!J:M,4,FALSE)</f>
        <v>Clientes por ventas y prestaciones de servicios</v>
      </c>
      <c r="C276" t="s">
        <v>2803</v>
      </c>
      <c r="D276" t="s">
        <v>2591</v>
      </c>
      <c r="E276">
        <v>1</v>
      </c>
      <c r="G276" t="s">
        <v>1578</v>
      </c>
    </row>
    <row r="277" spans="1:7" x14ac:dyDescent="0.25">
      <c r="A277" t="s">
        <v>1812</v>
      </c>
      <c r="B277" t="str">
        <f>VLOOKUP(D277,pgc_pyme!J:M,4,FALSE)</f>
        <v>Clientes</v>
      </c>
      <c r="C277" t="s">
        <v>2804</v>
      </c>
      <c r="D277" t="s">
        <v>2803</v>
      </c>
      <c r="E277">
        <v>0</v>
      </c>
      <c r="G277" t="s">
        <v>1578</v>
      </c>
    </row>
    <row r="278" spans="1:7" x14ac:dyDescent="0.25">
      <c r="A278" t="s">
        <v>1813</v>
      </c>
      <c r="B278" t="str">
        <f>VLOOKUP(D278,pgc_pyme!J:M,4,FALSE)</f>
        <v>Clientes</v>
      </c>
      <c r="C278" t="s">
        <v>2805</v>
      </c>
      <c r="D278" t="s">
        <v>2803</v>
      </c>
      <c r="E278">
        <v>0</v>
      </c>
      <c r="G278" t="s">
        <v>1578</v>
      </c>
    </row>
    <row r="279" spans="1:7" x14ac:dyDescent="0.25">
      <c r="A279" t="s">
        <v>1814</v>
      </c>
      <c r="B279" t="str">
        <f>VLOOKUP(D279,pgc_pyme!J:M,4,FALSE)</f>
        <v>Clientes</v>
      </c>
      <c r="C279" t="s">
        <v>2806</v>
      </c>
      <c r="D279" t="s">
        <v>2803</v>
      </c>
      <c r="E279">
        <v>0</v>
      </c>
      <c r="G279" t="s">
        <v>1578</v>
      </c>
    </row>
    <row r="280" spans="1:7" x14ac:dyDescent="0.25">
      <c r="A280" t="s">
        <v>1815</v>
      </c>
      <c r="B280" t="str">
        <f>VLOOKUP(D280,pgc_pyme!J:M,4,FALSE)</f>
        <v>Clientes por ventas y prestaciones de servicios</v>
      </c>
      <c r="C280" t="s">
        <v>2807</v>
      </c>
      <c r="D280" t="s">
        <v>2591</v>
      </c>
      <c r="E280">
        <v>1</v>
      </c>
      <c r="G280" t="s">
        <v>1578</v>
      </c>
    </row>
    <row r="281" spans="1:7" x14ac:dyDescent="0.25">
      <c r="A281" t="s">
        <v>1816</v>
      </c>
      <c r="B281" t="str">
        <f>VLOOKUP(D281,pgc_pyme!J:M,4,FALSE)</f>
        <v>Clientes, efectos comerciales a cobrar</v>
      </c>
      <c r="C281" t="s">
        <v>2808</v>
      </c>
      <c r="D281" t="s">
        <v>2807</v>
      </c>
      <c r="E281">
        <v>0</v>
      </c>
      <c r="G281" t="s">
        <v>1578</v>
      </c>
    </row>
    <row r="282" spans="1:7" x14ac:dyDescent="0.25">
      <c r="A282" t="s">
        <v>1817</v>
      </c>
      <c r="B282" t="str">
        <f>VLOOKUP(D282,pgc_pyme!J:M,4,FALSE)</f>
        <v>Clientes, efectos comerciales a cobrar</v>
      </c>
      <c r="C282" t="s">
        <v>2809</v>
      </c>
      <c r="D282" t="s">
        <v>2807</v>
      </c>
      <c r="E282">
        <v>0</v>
      </c>
      <c r="G282" t="s">
        <v>1578</v>
      </c>
    </row>
    <row r="283" spans="1:7" x14ac:dyDescent="0.25">
      <c r="A283" t="s">
        <v>1818</v>
      </c>
      <c r="B283" t="str">
        <f>VLOOKUP(D283,pgc_pyme!J:M,4,FALSE)</f>
        <v>Clientes, efectos comerciales a cobrar</v>
      </c>
      <c r="C283" t="s">
        <v>2810</v>
      </c>
      <c r="D283" t="s">
        <v>2807</v>
      </c>
      <c r="E283">
        <v>0</v>
      </c>
      <c r="G283" t="s">
        <v>1578</v>
      </c>
    </row>
    <row r="284" spans="1:7" x14ac:dyDescent="0.25">
      <c r="A284" t="s">
        <v>1819</v>
      </c>
      <c r="B284" t="str">
        <f>VLOOKUP(D284,pgc_pyme!J:M,4,FALSE)</f>
        <v>Clientes, efectos comerciales a cobrar</v>
      </c>
      <c r="C284" t="s">
        <v>2811</v>
      </c>
      <c r="D284" t="s">
        <v>2807</v>
      </c>
      <c r="E284">
        <v>0</v>
      </c>
      <c r="G284" t="s">
        <v>1578</v>
      </c>
    </row>
    <row r="285" spans="1:7" x14ac:dyDescent="0.25">
      <c r="A285" t="s">
        <v>1820</v>
      </c>
      <c r="B285" t="str">
        <f>VLOOKUP(D285,pgc_pyme!J:M,4,FALSE)</f>
        <v>Clientes por ventas y prestaciones de servicios</v>
      </c>
      <c r="C285" t="s">
        <v>2956</v>
      </c>
      <c r="D285" t="s">
        <v>2591</v>
      </c>
      <c r="E285">
        <v>0</v>
      </c>
      <c r="G285" t="s">
        <v>1578</v>
      </c>
    </row>
    <row r="286" spans="1:7" x14ac:dyDescent="0.25">
      <c r="A286" t="s">
        <v>1821</v>
      </c>
      <c r="B286" t="str">
        <f>VLOOKUP(D286,pgc_pyme!J:M,4,FALSE)</f>
        <v>Clientes por ventas y prestaciones de servicios</v>
      </c>
      <c r="C286" t="s">
        <v>2812</v>
      </c>
      <c r="D286" t="s">
        <v>2591</v>
      </c>
      <c r="E286">
        <v>1</v>
      </c>
      <c r="G286" t="s">
        <v>1578</v>
      </c>
    </row>
    <row r="287" spans="1:7" x14ac:dyDescent="0.25">
      <c r="A287" t="s">
        <v>1822</v>
      </c>
      <c r="B287" t="str">
        <f>VLOOKUP(D287,pgc_pyme!J:M,4,FALSE)</f>
        <v>Clientes, empresas del grupo</v>
      </c>
      <c r="C287" t="s">
        <v>2813</v>
      </c>
      <c r="D287" t="s">
        <v>2812</v>
      </c>
      <c r="E287">
        <v>0</v>
      </c>
      <c r="G287" t="s">
        <v>1578</v>
      </c>
    </row>
    <row r="288" spans="1:7" x14ac:dyDescent="0.25">
      <c r="A288" t="s">
        <v>1823</v>
      </c>
      <c r="B288" t="str">
        <f>VLOOKUP(D288,pgc_pyme!J:M,4,FALSE)</f>
        <v>Clientes, empresas del grupo</v>
      </c>
      <c r="C288" t="s">
        <v>2814</v>
      </c>
      <c r="D288" t="s">
        <v>2812</v>
      </c>
      <c r="E288">
        <v>0</v>
      </c>
      <c r="G288" t="s">
        <v>1578</v>
      </c>
    </row>
    <row r="289" spans="1:8" x14ac:dyDescent="0.25">
      <c r="A289" t="s">
        <v>1824</v>
      </c>
      <c r="B289" t="str">
        <f>VLOOKUP(D289,pgc_pyme!J:M,4,FALSE)</f>
        <v>Clientes, empresas del grupo</v>
      </c>
      <c r="C289" t="s">
        <v>2815</v>
      </c>
      <c r="D289" t="s">
        <v>2812</v>
      </c>
      <c r="E289">
        <v>0</v>
      </c>
      <c r="G289" t="s">
        <v>1578</v>
      </c>
    </row>
    <row r="290" spans="1:8" x14ac:dyDescent="0.25">
      <c r="A290" t="s">
        <v>1825</v>
      </c>
      <c r="B290" t="str">
        <f>VLOOKUP(D290,pgc_pyme!J:M,4,FALSE)</f>
        <v>Clientes, empresas del grupo</v>
      </c>
      <c r="C290" t="s">
        <v>2816</v>
      </c>
      <c r="D290" t="s">
        <v>2812</v>
      </c>
      <c r="E290">
        <v>0</v>
      </c>
      <c r="G290" t="s">
        <v>1578</v>
      </c>
    </row>
    <row r="291" spans="1:8" x14ac:dyDescent="0.25">
      <c r="A291" t="s">
        <v>1826</v>
      </c>
      <c r="B291" t="str">
        <f>VLOOKUP(D291,pgc_pyme!J:M,4,FALSE)</f>
        <v>Clientes, empresas del grupo</v>
      </c>
      <c r="C291" t="s">
        <v>2817</v>
      </c>
      <c r="D291" t="s">
        <v>2812</v>
      </c>
      <c r="E291">
        <v>0</v>
      </c>
      <c r="G291" t="s">
        <v>1578</v>
      </c>
    </row>
    <row r="292" spans="1:8" x14ac:dyDescent="0.25">
      <c r="A292" t="s">
        <v>1827</v>
      </c>
      <c r="B292" t="str">
        <f>VLOOKUP(D292,pgc_pyme!J:M,4,FALSE)</f>
        <v>Clientes, empresas del grupo</v>
      </c>
      <c r="C292" t="s">
        <v>2818</v>
      </c>
      <c r="D292" t="s">
        <v>2812</v>
      </c>
      <c r="E292">
        <v>0</v>
      </c>
      <c r="G292" t="s">
        <v>1578</v>
      </c>
    </row>
    <row r="293" spans="1:8" x14ac:dyDescent="0.25">
      <c r="A293" t="s">
        <v>1828</v>
      </c>
      <c r="B293" t="str">
        <f>VLOOKUP(D293,pgc_pyme!J:M,4,FALSE)</f>
        <v>Clientes, empresas del grupo</v>
      </c>
      <c r="C293" t="s">
        <v>2819</v>
      </c>
      <c r="D293" t="s">
        <v>2812</v>
      </c>
      <c r="E293">
        <v>0</v>
      </c>
      <c r="G293" t="s">
        <v>1578</v>
      </c>
      <c r="H293" t="s">
        <v>1579</v>
      </c>
    </row>
    <row r="294" spans="1:8" x14ac:dyDescent="0.25">
      <c r="A294" t="s">
        <v>1829</v>
      </c>
      <c r="B294" t="str">
        <f>VLOOKUP(D294,pgc_pyme!J:M,4,FALSE)</f>
        <v>Clientes por ventas y prestaciones de servicios</v>
      </c>
      <c r="C294" t="s">
        <v>2957</v>
      </c>
      <c r="D294" t="s">
        <v>2591</v>
      </c>
      <c r="E294">
        <v>0</v>
      </c>
      <c r="G294" t="s">
        <v>1578</v>
      </c>
      <c r="H294" t="s">
        <v>1579</v>
      </c>
    </row>
    <row r="295" spans="1:8" x14ac:dyDescent="0.25">
      <c r="A295" t="s">
        <v>1830</v>
      </c>
      <c r="B295" t="str">
        <f>VLOOKUP(D295,pgc_pyme!J:M,4,FALSE)</f>
        <v>Clientes por ventas y prestaciones de servicios</v>
      </c>
      <c r="C295" t="s">
        <v>2958</v>
      </c>
      <c r="D295" t="s">
        <v>2591</v>
      </c>
      <c r="E295">
        <v>0</v>
      </c>
      <c r="G295" t="s">
        <v>1578</v>
      </c>
      <c r="H295" t="s">
        <v>1579</v>
      </c>
    </row>
    <row r="296" spans="1:8" x14ac:dyDescent="0.25">
      <c r="A296" t="s">
        <v>1831</v>
      </c>
      <c r="B296" t="str">
        <f>VLOOKUP(D296,pgc_pyme!J:M,4,FALSE)</f>
        <v>Clientes por ventas y prestaciones de servicios</v>
      </c>
      <c r="C296" t="s">
        <v>2959</v>
      </c>
      <c r="D296" t="s">
        <v>2591</v>
      </c>
      <c r="E296">
        <v>0</v>
      </c>
      <c r="G296" t="s">
        <v>1578</v>
      </c>
      <c r="H296" t="s">
        <v>1579</v>
      </c>
    </row>
    <row r="297" spans="1:8" x14ac:dyDescent="0.25">
      <c r="A297" t="s">
        <v>1832</v>
      </c>
      <c r="B297" t="str">
        <f>VLOOKUP(D297,pgc_pyme!J:M,4,FALSE)</f>
        <v>Clientes por ventas y prestaciones de servicios</v>
      </c>
      <c r="C297" t="s">
        <v>2960</v>
      </c>
      <c r="D297" t="s">
        <v>2591</v>
      </c>
      <c r="E297">
        <v>0</v>
      </c>
      <c r="G297" t="s">
        <v>1578</v>
      </c>
      <c r="H297" t="s">
        <v>1579</v>
      </c>
    </row>
    <row r="298" spans="1:8" x14ac:dyDescent="0.25">
      <c r="A298" t="s">
        <v>1833</v>
      </c>
      <c r="B298" t="str">
        <f>VLOOKUP(D298,pgc_pyme!J:M,4,FALSE)</f>
        <v>Otros acreedores</v>
      </c>
      <c r="C298" t="s">
        <v>2961</v>
      </c>
      <c r="D298" t="s">
        <v>2649</v>
      </c>
      <c r="E298">
        <v>0</v>
      </c>
      <c r="G298" t="s">
        <v>1578</v>
      </c>
      <c r="H298" t="s">
        <v>1579</v>
      </c>
    </row>
    <row r="299" spans="1:8" x14ac:dyDescent="0.25">
      <c r="A299" t="s">
        <v>3080</v>
      </c>
      <c r="B299" t="str">
        <f>VLOOKUP(D299,pgc_pyme!J:M,4,FALSE)</f>
        <v>Otros deudores</v>
      </c>
      <c r="C299" t="s">
        <v>2822</v>
      </c>
      <c r="D299" t="s">
        <v>2595</v>
      </c>
      <c r="E299">
        <v>1</v>
      </c>
      <c r="G299" t="s">
        <v>1578</v>
      </c>
      <c r="H299" t="s">
        <v>1579</v>
      </c>
    </row>
    <row r="300" spans="1:8" x14ac:dyDescent="0.25">
      <c r="A300" t="s">
        <v>1834</v>
      </c>
      <c r="B300" t="str">
        <f>VLOOKUP(D300,pgc_pyme!J:M,4,FALSE)</f>
        <v>Deudores Varios</v>
      </c>
      <c r="C300" t="s">
        <v>2820</v>
      </c>
      <c r="D300" t="s">
        <v>2822</v>
      </c>
      <c r="E300">
        <v>1</v>
      </c>
      <c r="G300" t="s">
        <v>1578</v>
      </c>
      <c r="H300" t="s">
        <v>1579</v>
      </c>
    </row>
    <row r="301" spans="1:8" x14ac:dyDescent="0.25">
      <c r="A301" t="s">
        <v>1835</v>
      </c>
      <c r="B301" t="str">
        <f>VLOOKUP(D301,pgc_pyme!J:M,4,FALSE)</f>
        <v>Deudores</v>
      </c>
      <c r="C301" t="s">
        <v>2823</v>
      </c>
      <c r="D301" t="s">
        <v>2820</v>
      </c>
      <c r="E301">
        <v>0</v>
      </c>
      <c r="G301" t="s">
        <v>1578</v>
      </c>
      <c r="H301" t="s">
        <v>1579</v>
      </c>
    </row>
    <row r="302" spans="1:8" x14ac:dyDescent="0.25">
      <c r="A302" t="s">
        <v>1836</v>
      </c>
      <c r="B302" t="str">
        <f>VLOOKUP(D302,pgc_pyme!J:M,4,FALSE)</f>
        <v>Deudores</v>
      </c>
      <c r="C302" t="s">
        <v>2824</v>
      </c>
      <c r="D302" t="s">
        <v>2820</v>
      </c>
      <c r="E302">
        <v>0</v>
      </c>
      <c r="G302" t="s">
        <v>1578</v>
      </c>
      <c r="H302" t="s">
        <v>1579</v>
      </c>
    </row>
    <row r="303" spans="1:8" x14ac:dyDescent="0.25">
      <c r="A303" t="s">
        <v>1837</v>
      </c>
      <c r="B303" t="str">
        <f>VLOOKUP(D303,pgc_pyme!J:M,4,FALSE)</f>
        <v>Deudores</v>
      </c>
      <c r="C303" t="s">
        <v>2825</v>
      </c>
      <c r="D303" t="s">
        <v>2820</v>
      </c>
      <c r="E303">
        <v>0</v>
      </c>
      <c r="G303" t="s">
        <v>1578</v>
      </c>
      <c r="H303" t="s">
        <v>1579</v>
      </c>
    </row>
    <row r="304" spans="1:8" x14ac:dyDescent="0.25">
      <c r="A304" t="s">
        <v>1838</v>
      </c>
      <c r="B304" t="str">
        <f>VLOOKUP(D304,pgc_pyme!J:M,4,FALSE)</f>
        <v>Deudores Varios</v>
      </c>
      <c r="C304" t="s">
        <v>2821</v>
      </c>
      <c r="D304" t="s">
        <v>2822</v>
      </c>
      <c r="E304">
        <v>1</v>
      </c>
      <c r="G304" t="s">
        <v>1578</v>
      </c>
      <c r="H304" t="s">
        <v>1579</v>
      </c>
    </row>
    <row r="305" spans="1:8" x14ac:dyDescent="0.25">
      <c r="A305" t="s">
        <v>1839</v>
      </c>
      <c r="B305" t="str">
        <f>VLOOKUP(D305,pgc_pyme!J:M,4,FALSE)</f>
        <v>Deudores, efectos comerciales a cobrar</v>
      </c>
      <c r="C305" t="s">
        <v>2826</v>
      </c>
      <c r="D305" t="s">
        <v>2821</v>
      </c>
      <c r="E305">
        <v>0</v>
      </c>
      <c r="G305" t="s">
        <v>1578</v>
      </c>
      <c r="H305" t="s">
        <v>1579</v>
      </c>
    </row>
    <row r="306" spans="1:8" x14ac:dyDescent="0.25">
      <c r="A306" t="s">
        <v>1840</v>
      </c>
      <c r="B306" t="str">
        <f>VLOOKUP(D306,pgc_pyme!J:M,4,FALSE)</f>
        <v>Deudores, efectos comerciales a cobrar</v>
      </c>
      <c r="C306" t="s">
        <v>2827</v>
      </c>
      <c r="D306" t="s">
        <v>2821</v>
      </c>
      <c r="E306">
        <v>0</v>
      </c>
      <c r="G306" t="s">
        <v>1578</v>
      </c>
      <c r="H306" t="s">
        <v>1579</v>
      </c>
    </row>
    <row r="307" spans="1:8" x14ac:dyDescent="0.25">
      <c r="A307" t="s">
        <v>1841</v>
      </c>
      <c r="B307" t="str">
        <f>VLOOKUP(D307,pgc_pyme!J:M,4,FALSE)</f>
        <v>Deudores, efectos comerciales a cobrar</v>
      </c>
      <c r="C307" t="s">
        <v>2828</v>
      </c>
      <c r="D307" t="s">
        <v>2821</v>
      </c>
      <c r="E307">
        <v>0</v>
      </c>
      <c r="G307" t="s">
        <v>1578</v>
      </c>
      <c r="H307" t="s">
        <v>1579</v>
      </c>
    </row>
    <row r="308" spans="1:8" x14ac:dyDescent="0.25">
      <c r="A308" t="s">
        <v>1842</v>
      </c>
      <c r="B308" t="str">
        <f>VLOOKUP(D308,pgc_pyme!J:M,4,FALSE)</f>
        <v>Deudores, efectos comerciales a cobrar</v>
      </c>
      <c r="C308" t="s">
        <v>2829</v>
      </c>
      <c r="D308" t="s">
        <v>2821</v>
      </c>
      <c r="E308">
        <v>0</v>
      </c>
      <c r="G308" t="s">
        <v>1578</v>
      </c>
      <c r="H308" t="s">
        <v>1579</v>
      </c>
    </row>
    <row r="309" spans="1:8" x14ac:dyDescent="0.25">
      <c r="A309" t="s">
        <v>1843</v>
      </c>
      <c r="B309" t="str">
        <f>VLOOKUP(D309,pgc_pyme!J:M,4,FALSE)</f>
        <v>Otros deudores</v>
      </c>
      <c r="C309" t="s">
        <v>2962</v>
      </c>
      <c r="D309" t="s">
        <v>2595</v>
      </c>
      <c r="E309">
        <v>0</v>
      </c>
      <c r="G309" t="s">
        <v>1578</v>
      </c>
      <c r="H309" t="s">
        <v>1579</v>
      </c>
    </row>
    <row r="310" spans="1:8" x14ac:dyDescent="0.25">
      <c r="A310" t="s">
        <v>1844</v>
      </c>
      <c r="B310" t="str">
        <f>VLOOKUP(D310,pgc_pyme!J:M,4,FALSE)</f>
        <v>Otros acreedores</v>
      </c>
      <c r="C310" t="s">
        <v>2963</v>
      </c>
      <c r="D310" t="s">
        <v>2649</v>
      </c>
      <c r="E310">
        <v>0</v>
      </c>
      <c r="G310" t="s">
        <v>1581</v>
      </c>
      <c r="H310" t="s">
        <v>1579</v>
      </c>
    </row>
    <row r="311" spans="1:8" x14ac:dyDescent="0.25">
      <c r="A311" t="s">
        <v>1845</v>
      </c>
      <c r="B311" t="str">
        <f>VLOOKUP(D311,pgc_pyme!J:M,4,FALSE)</f>
        <v>Otros deudores</v>
      </c>
      <c r="C311" t="s">
        <v>2830</v>
      </c>
      <c r="D311" t="s">
        <v>2595</v>
      </c>
      <c r="E311">
        <v>1</v>
      </c>
      <c r="G311" t="s">
        <v>1578</v>
      </c>
      <c r="H311" t="s">
        <v>1579</v>
      </c>
    </row>
    <row r="312" spans="1:8" x14ac:dyDescent="0.25">
      <c r="A312" t="s">
        <v>1846</v>
      </c>
      <c r="B312" t="str">
        <f>VLOOKUP(D312,pgc_pyme!J:M,4,FALSE)</f>
        <v>Hacienda Pública, deudora por diversos conceptos</v>
      </c>
      <c r="C312" t="s">
        <v>2831</v>
      </c>
      <c r="D312" t="s">
        <v>2830</v>
      </c>
      <c r="E312">
        <v>0</v>
      </c>
      <c r="G312" t="s">
        <v>1578</v>
      </c>
      <c r="H312" t="s">
        <v>1579</v>
      </c>
    </row>
    <row r="313" spans="1:8" x14ac:dyDescent="0.25">
      <c r="A313" t="s">
        <v>1847</v>
      </c>
      <c r="B313" t="str">
        <f>VLOOKUP(D313,pgc_pyme!J:M,4,FALSE)</f>
        <v>Hacienda Pública, deudora por diversos conceptos</v>
      </c>
      <c r="C313" t="s">
        <v>2832</v>
      </c>
      <c r="D313" t="s">
        <v>2830</v>
      </c>
      <c r="E313">
        <v>0</v>
      </c>
      <c r="G313" t="s">
        <v>1578</v>
      </c>
      <c r="H313" t="s">
        <v>1579</v>
      </c>
    </row>
    <row r="314" spans="1:8" x14ac:dyDescent="0.25">
      <c r="A314" t="s">
        <v>1848</v>
      </c>
      <c r="B314" t="str">
        <f>VLOOKUP(D314,pgc_pyme!J:M,4,FALSE)</f>
        <v>Hacienda Pública, deudora por diversos conceptos</v>
      </c>
      <c r="C314" t="s">
        <v>2833</v>
      </c>
      <c r="D314" t="s">
        <v>2830</v>
      </c>
      <c r="E314">
        <v>0</v>
      </c>
      <c r="G314" t="s">
        <v>1578</v>
      </c>
      <c r="H314" t="s">
        <v>1579</v>
      </c>
    </row>
    <row r="315" spans="1:8" x14ac:dyDescent="0.25">
      <c r="A315" t="s">
        <v>1849</v>
      </c>
      <c r="B315" t="str">
        <f>VLOOKUP(D315,pgc_pyme!J:M,4,FALSE)</f>
        <v>Otros deudores</v>
      </c>
      <c r="C315" t="s">
        <v>2964</v>
      </c>
      <c r="D315" t="s">
        <v>2595</v>
      </c>
      <c r="E315">
        <v>0</v>
      </c>
      <c r="G315" t="s">
        <v>1578</v>
      </c>
      <c r="H315" t="s">
        <v>1579</v>
      </c>
    </row>
    <row r="316" spans="1:8" x14ac:dyDescent="0.25">
      <c r="A316" t="s">
        <v>1850</v>
      </c>
      <c r="B316" t="str">
        <f>VLOOKUP(D316,pgc_pyme!J:M,4,FALSE)</f>
        <v>Otros deudores</v>
      </c>
      <c r="C316" t="s">
        <v>2965</v>
      </c>
      <c r="D316" t="s">
        <v>2595</v>
      </c>
      <c r="E316">
        <v>0</v>
      </c>
      <c r="F316" t="s">
        <v>3094</v>
      </c>
      <c r="G316" t="s">
        <v>1578</v>
      </c>
      <c r="H316" t="s">
        <v>1579</v>
      </c>
    </row>
    <row r="317" spans="1:8" x14ac:dyDescent="0.25">
      <c r="A317" t="s">
        <v>1851</v>
      </c>
      <c r="B317" t="str">
        <f>VLOOKUP(D317,pgc_pyme!J:M,4,FALSE)</f>
        <v>Activos por impuesto diferido</v>
      </c>
      <c r="C317" t="s">
        <v>2834</v>
      </c>
      <c r="D317" t="s">
        <v>2658</v>
      </c>
      <c r="E317">
        <v>1</v>
      </c>
      <c r="G317" t="s">
        <v>1578</v>
      </c>
      <c r="H317" t="s">
        <v>1579</v>
      </c>
    </row>
    <row r="318" spans="1:8" x14ac:dyDescent="0.25">
      <c r="A318" t="s">
        <v>1852</v>
      </c>
      <c r="B318" t="str">
        <f>VLOOKUP(D318,pgc_pyme!J:M,4,FALSE)</f>
        <v>Activos por impuesto diferido</v>
      </c>
      <c r="C318" t="s">
        <v>2835</v>
      </c>
      <c r="D318" t="s">
        <v>2834</v>
      </c>
      <c r="E318">
        <v>0</v>
      </c>
      <c r="G318" t="s">
        <v>1578</v>
      </c>
      <c r="H318" t="s">
        <v>1579</v>
      </c>
    </row>
    <row r="319" spans="1:8" x14ac:dyDescent="0.25">
      <c r="A319" t="s">
        <v>1853</v>
      </c>
      <c r="B319" t="str">
        <f>VLOOKUP(D319,pgc_pyme!J:M,4,FALSE)</f>
        <v>Activos por impuesto diferido</v>
      </c>
      <c r="C319" t="s">
        <v>2836</v>
      </c>
      <c r="D319" t="s">
        <v>2834</v>
      </c>
      <c r="E319">
        <v>0</v>
      </c>
      <c r="G319" t="s">
        <v>1578</v>
      </c>
      <c r="H319" t="s">
        <v>1579</v>
      </c>
    </row>
    <row r="320" spans="1:8" x14ac:dyDescent="0.25">
      <c r="A320" t="s">
        <v>1854</v>
      </c>
      <c r="B320" t="str">
        <f>VLOOKUP(D320,pgc_pyme!J:M,4,FALSE)</f>
        <v>Activos por impuesto diferido</v>
      </c>
      <c r="C320" t="s">
        <v>2837</v>
      </c>
      <c r="D320" t="s">
        <v>2834</v>
      </c>
      <c r="E320">
        <v>0</v>
      </c>
      <c r="G320" t="s">
        <v>1578</v>
      </c>
      <c r="H320" t="s">
        <v>1579</v>
      </c>
    </row>
    <row r="321" spans="1:8" x14ac:dyDescent="0.25">
      <c r="A321" t="s">
        <v>1855</v>
      </c>
      <c r="B321" t="str">
        <f>VLOOKUP(D321,pgc_pyme!J:M,4,FALSE)</f>
        <v>Otros acreedores</v>
      </c>
      <c r="C321" t="s">
        <v>2838</v>
      </c>
      <c r="D321" t="s">
        <v>2649</v>
      </c>
      <c r="E321">
        <v>1</v>
      </c>
      <c r="G321" t="s">
        <v>1581</v>
      </c>
      <c r="H321" t="s">
        <v>1579</v>
      </c>
    </row>
    <row r="322" spans="1:8" x14ac:dyDescent="0.25">
      <c r="A322" t="s">
        <v>1856</v>
      </c>
      <c r="B322" t="str">
        <f>VLOOKUP(D322,pgc_pyme!J:M,4,FALSE)</f>
        <v>Hacienda Pública, acreedora por conceptos fiscales</v>
      </c>
      <c r="C322" t="s">
        <v>2839</v>
      </c>
      <c r="D322" t="s">
        <v>2838</v>
      </c>
      <c r="E322">
        <v>0</v>
      </c>
      <c r="G322" t="s">
        <v>1581</v>
      </c>
      <c r="H322" t="s">
        <v>1579</v>
      </c>
    </row>
    <row r="323" spans="1:8" x14ac:dyDescent="0.25">
      <c r="A323" t="s">
        <v>1857</v>
      </c>
      <c r="B323" t="str">
        <f>VLOOKUP(D323,pgc_pyme!J:M,4,FALSE)</f>
        <v>Hacienda Pública, acreedora por conceptos fiscales</v>
      </c>
      <c r="C323" t="s">
        <v>2840</v>
      </c>
      <c r="D323" t="s">
        <v>2838</v>
      </c>
      <c r="E323">
        <v>0</v>
      </c>
      <c r="G323" t="s">
        <v>1581</v>
      </c>
      <c r="H323" t="s">
        <v>1579</v>
      </c>
    </row>
    <row r="324" spans="1:8" x14ac:dyDescent="0.25">
      <c r="A324" t="s">
        <v>1858</v>
      </c>
      <c r="B324" t="str">
        <f>VLOOKUP(D324,pgc_pyme!J:M,4,FALSE)</f>
        <v>Hacienda Pública, acreedora por conceptos fiscales</v>
      </c>
      <c r="C324" t="s">
        <v>2841</v>
      </c>
      <c r="D324" t="s">
        <v>2838</v>
      </c>
      <c r="E324">
        <v>0</v>
      </c>
      <c r="G324" t="s">
        <v>1581</v>
      </c>
      <c r="H324" t="s">
        <v>1579</v>
      </c>
    </row>
    <row r="325" spans="1:8" x14ac:dyDescent="0.25">
      <c r="A325" t="s">
        <v>1859</v>
      </c>
      <c r="B325" t="str">
        <f>VLOOKUP(D325,pgc_pyme!J:M,4,FALSE)</f>
        <v>Hacienda Pública, acreedora por conceptos fiscales</v>
      </c>
      <c r="C325" t="s">
        <v>2842</v>
      </c>
      <c r="D325" t="s">
        <v>2838</v>
      </c>
      <c r="E325">
        <v>0</v>
      </c>
      <c r="G325" t="s">
        <v>1581</v>
      </c>
      <c r="H325" t="s">
        <v>1579</v>
      </c>
    </row>
    <row r="326" spans="1:8" x14ac:dyDescent="0.25">
      <c r="A326" t="s">
        <v>1860</v>
      </c>
      <c r="B326" t="str">
        <f>VLOOKUP(D326,pgc_pyme!J:M,4,FALSE)</f>
        <v>Otros acreedores</v>
      </c>
      <c r="C326" t="s">
        <v>2966</v>
      </c>
      <c r="D326" t="s">
        <v>2649</v>
      </c>
      <c r="E326">
        <v>0</v>
      </c>
      <c r="G326" t="s">
        <v>1581</v>
      </c>
      <c r="H326" t="s">
        <v>1579</v>
      </c>
    </row>
    <row r="327" spans="1:8" x14ac:dyDescent="0.25">
      <c r="A327" t="s">
        <v>1861</v>
      </c>
      <c r="B327" t="str">
        <f>VLOOKUP(D327,pgc_pyme!J:M,4,FALSE)</f>
        <v>Otros acreedores</v>
      </c>
      <c r="C327" t="s">
        <v>2967</v>
      </c>
      <c r="D327" t="s">
        <v>2649</v>
      </c>
      <c r="E327">
        <v>0</v>
      </c>
      <c r="F327" t="s">
        <v>3094</v>
      </c>
      <c r="G327" t="s">
        <v>1581</v>
      </c>
      <c r="H327" t="s">
        <v>1579</v>
      </c>
    </row>
    <row r="328" spans="1:8" x14ac:dyDescent="0.25">
      <c r="A328" t="s">
        <v>1862</v>
      </c>
      <c r="B328" t="str">
        <f>VLOOKUP(D328,pgc_pyme!J:M,4,FALSE)</f>
        <v>Pasivos por impuesto diferido</v>
      </c>
      <c r="C328" t="s">
        <v>2968</v>
      </c>
      <c r="D328" t="s">
        <v>2670</v>
      </c>
      <c r="E328">
        <v>0</v>
      </c>
      <c r="G328" t="s">
        <v>1581</v>
      </c>
      <c r="H328" t="s">
        <v>1579</v>
      </c>
    </row>
    <row r="329" spans="1:8" x14ac:dyDescent="0.25">
      <c r="A329" t="s">
        <v>1863</v>
      </c>
      <c r="B329" t="str">
        <f>VLOOKUP(D329,pgc_pyme!J:M,4,FALSE)</f>
        <v>Periodificaciones a corto plazo</v>
      </c>
      <c r="C329" t="s">
        <v>2969</v>
      </c>
      <c r="D329" t="s">
        <v>2600</v>
      </c>
      <c r="E329">
        <v>0</v>
      </c>
      <c r="G329" t="s">
        <v>1578</v>
      </c>
      <c r="H329" t="s">
        <v>1579</v>
      </c>
    </row>
    <row r="330" spans="1:8" x14ac:dyDescent="0.25">
      <c r="A330" t="s">
        <v>1864</v>
      </c>
      <c r="B330" t="str">
        <f>VLOOKUP(D330,pgc_pyme!J:M,4,FALSE)</f>
        <v>Periodificaciones a corto plazo</v>
      </c>
      <c r="C330" t="s">
        <v>2970</v>
      </c>
      <c r="D330" t="s">
        <v>2651</v>
      </c>
      <c r="E330">
        <v>0</v>
      </c>
      <c r="G330" t="s">
        <v>1581</v>
      </c>
      <c r="H330" t="s">
        <v>1579</v>
      </c>
    </row>
    <row r="331" spans="1:8" x14ac:dyDescent="0.25">
      <c r="A331" t="s">
        <v>1865</v>
      </c>
      <c r="B331" t="str">
        <f>VLOOKUP(D331,pgc_pyme!J:M,4,FALSE)</f>
        <v>Clientes por ventas y prestaciones de servicios</v>
      </c>
      <c r="C331" t="s">
        <v>2971</v>
      </c>
      <c r="D331" t="s">
        <v>2591</v>
      </c>
      <c r="E331">
        <v>0</v>
      </c>
      <c r="G331" t="s">
        <v>1578</v>
      </c>
      <c r="H331" t="s">
        <v>1579</v>
      </c>
    </row>
    <row r="332" spans="1:8" x14ac:dyDescent="0.25">
      <c r="A332" t="s">
        <v>1866</v>
      </c>
      <c r="B332" t="str">
        <f>VLOOKUP(D332,pgc_pyme!J:M,4,FALSE)</f>
        <v>Clientes por ventas y prestaciones de servicios</v>
      </c>
      <c r="C332" t="s">
        <v>2843</v>
      </c>
      <c r="D332" t="s">
        <v>2591</v>
      </c>
      <c r="E332">
        <v>1</v>
      </c>
      <c r="G332" t="s">
        <v>1578</v>
      </c>
      <c r="H332" t="s">
        <v>1579</v>
      </c>
    </row>
    <row r="333" spans="1:8" x14ac:dyDescent="0.25">
      <c r="A333" t="s">
        <v>1867</v>
      </c>
      <c r="B333" t="str">
        <f>VLOOKUP(D333,pgc_pyme!J:M,4,FALSE)</f>
        <v>Deterioro de valor de créditos por operaciones comerciales con partes vinculadas</v>
      </c>
      <c r="C333" t="s">
        <v>2844</v>
      </c>
      <c r="D333" t="s">
        <v>2843</v>
      </c>
      <c r="E333">
        <v>0</v>
      </c>
      <c r="G333" t="s">
        <v>1578</v>
      </c>
      <c r="H333" t="s">
        <v>1579</v>
      </c>
    </row>
    <row r="334" spans="1:8" x14ac:dyDescent="0.25">
      <c r="A334" t="s">
        <v>1868</v>
      </c>
      <c r="B334" t="str">
        <f>VLOOKUP(D334,pgc_pyme!J:M,4,FALSE)</f>
        <v>Deterioro de valor de créditos por operaciones comerciales con partes vinculadas</v>
      </c>
      <c r="C334" t="s">
        <v>2845</v>
      </c>
      <c r="D334" t="s">
        <v>2843</v>
      </c>
      <c r="E334">
        <v>0</v>
      </c>
      <c r="G334" t="s">
        <v>1578</v>
      </c>
      <c r="H334" t="s">
        <v>1579</v>
      </c>
    </row>
    <row r="335" spans="1:8" x14ac:dyDescent="0.25">
      <c r="A335" t="s">
        <v>1869</v>
      </c>
      <c r="B335" t="str">
        <f>VLOOKUP(D335,pgc_pyme!J:M,4,FALSE)</f>
        <v>Deterioro de valor de créditos por operaciones comerciales con partes vinculadas</v>
      </c>
      <c r="C335" t="s">
        <v>2846</v>
      </c>
      <c r="D335" t="s">
        <v>2843</v>
      </c>
      <c r="E335">
        <v>0</v>
      </c>
      <c r="G335" t="s">
        <v>1578</v>
      </c>
      <c r="H335" t="s">
        <v>1579</v>
      </c>
    </row>
    <row r="336" spans="1:8" x14ac:dyDescent="0.25">
      <c r="A336" t="s">
        <v>1870</v>
      </c>
      <c r="B336" t="str">
        <f>VLOOKUP(D336,pgc_pyme!J:M,4,FALSE)</f>
        <v>Provisiones a corto plazo</v>
      </c>
      <c r="C336" t="s">
        <v>2847</v>
      </c>
      <c r="D336" t="s">
        <v>2639</v>
      </c>
      <c r="E336">
        <v>1</v>
      </c>
      <c r="G336" t="s">
        <v>1581</v>
      </c>
      <c r="H336" t="s">
        <v>1579</v>
      </c>
    </row>
    <row r="337" spans="1:8" x14ac:dyDescent="0.25">
      <c r="A337" t="s">
        <v>1871</v>
      </c>
      <c r="B337" t="str">
        <f>VLOOKUP(D337,pgc_pyme!J:M,4,FALSE)</f>
        <v>Provisiones por operaciones comerciales</v>
      </c>
      <c r="C337" t="s">
        <v>2848</v>
      </c>
      <c r="D337" t="s">
        <v>2847</v>
      </c>
      <c r="E337">
        <v>0</v>
      </c>
      <c r="G337" t="s">
        <v>1581</v>
      </c>
      <c r="H337" t="s">
        <v>1579</v>
      </c>
    </row>
    <row r="338" spans="1:8" x14ac:dyDescent="0.25">
      <c r="A338" t="s">
        <v>1872</v>
      </c>
      <c r="B338" t="str">
        <f>VLOOKUP(D338,pgc_pyme!J:M,4,FALSE)</f>
        <v>Provisiones por operaciones comerciales</v>
      </c>
      <c r="C338" t="s">
        <v>2849</v>
      </c>
      <c r="D338" t="s">
        <v>2847</v>
      </c>
      <c r="E338">
        <v>0</v>
      </c>
      <c r="G338" t="s">
        <v>1581</v>
      </c>
      <c r="H338" t="s">
        <v>1579</v>
      </c>
    </row>
    <row r="339" spans="1:8" x14ac:dyDescent="0.25">
      <c r="A339" t="s">
        <v>1873</v>
      </c>
      <c r="B339" t="str">
        <f>VLOOKUP(D339,pgc_pyme!J:M,4,FALSE)</f>
        <v>Otras deudas a corto plazo</v>
      </c>
      <c r="C339" t="s">
        <v>2972</v>
      </c>
      <c r="D339" t="s">
        <v>2644</v>
      </c>
      <c r="E339">
        <v>0</v>
      </c>
      <c r="G339" t="s">
        <v>1581</v>
      </c>
      <c r="H339" t="s">
        <v>1579</v>
      </c>
    </row>
    <row r="340" spans="1:8" x14ac:dyDescent="0.25">
      <c r="A340" t="s">
        <v>1874</v>
      </c>
      <c r="B340" t="str">
        <f>VLOOKUP(D340,pgc_pyme!J:M,4,FALSE)</f>
        <v>Otras deudas a corto plazo</v>
      </c>
      <c r="C340" t="s">
        <v>2973</v>
      </c>
      <c r="D340" t="s">
        <v>2644</v>
      </c>
      <c r="E340">
        <v>0</v>
      </c>
      <c r="G340" t="s">
        <v>1581</v>
      </c>
      <c r="H340" t="s">
        <v>1579</v>
      </c>
    </row>
    <row r="341" spans="1:8" x14ac:dyDescent="0.25">
      <c r="A341" t="s">
        <v>1875</v>
      </c>
      <c r="B341" t="str">
        <f>VLOOKUP(D341,pgc_pyme!J:M,4,FALSE)</f>
        <v>Otras deudas a corto plazo</v>
      </c>
      <c r="C341" t="s">
        <v>2974</v>
      </c>
      <c r="D341" t="s">
        <v>2644</v>
      </c>
      <c r="E341">
        <v>0</v>
      </c>
      <c r="G341" t="s">
        <v>1581</v>
      </c>
      <c r="H341" t="s">
        <v>1579</v>
      </c>
    </row>
    <row r="342" spans="1:8" x14ac:dyDescent="0.25">
      <c r="A342" t="s">
        <v>1876</v>
      </c>
      <c r="B342" t="str">
        <f>VLOOKUP(D342,pgc_pyme!J:M,4,FALSE)</f>
        <v>Otras deudas a corto plazo</v>
      </c>
      <c r="C342" t="s">
        <v>2850</v>
      </c>
      <c r="D342" t="s">
        <v>2644</v>
      </c>
      <c r="E342">
        <v>1</v>
      </c>
      <c r="G342" t="s">
        <v>1581</v>
      </c>
      <c r="H342" t="s">
        <v>1579</v>
      </c>
    </row>
    <row r="343" spans="1:8" x14ac:dyDescent="0.25">
      <c r="A343" t="s">
        <v>1877</v>
      </c>
      <c r="B343" t="str">
        <f>VLOOKUP(D343,pgc_pyme!J:M,4,FALSE)</f>
        <v>Valores negociables amortizados</v>
      </c>
      <c r="C343" t="s">
        <v>2851</v>
      </c>
      <c r="D343" t="s">
        <v>2850</v>
      </c>
      <c r="E343">
        <v>0</v>
      </c>
      <c r="G343" t="s">
        <v>1581</v>
      </c>
      <c r="H343" t="s">
        <v>1579</v>
      </c>
    </row>
    <row r="344" spans="1:8" x14ac:dyDescent="0.25">
      <c r="A344" t="s">
        <v>1878</v>
      </c>
      <c r="B344" t="str">
        <f>VLOOKUP(D344,pgc_pyme!J:M,4,FALSE)</f>
        <v>Valores negociables amortizados</v>
      </c>
      <c r="C344" t="s">
        <v>2852</v>
      </c>
      <c r="D344" t="s">
        <v>2850</v>
      </c>
      <c r="E344">
        <v>0</v>
      </c>
      <c r="G344" t="s">
        <v>1581</v>
      </c>
      <c r="H344" t="s">
        <v>1579</v>
      </c>
    </row>
    <row r="345" spans="1:8" x14ac:dyDescent="0.25">
      <c r="A345" t="s">
        <v>1879</v>
      </c>
      <c r="B345" t="str">
        <f>VLOOKUP(D345,pgc_pyme!J:M,4,FALSE)</f>
        <v>Deudas con empresas del grupo y asociadas a corto plazo</v>
      </c>
      <c r="C345" t="s">
        <v>2975</v>
      </c>
      <c r="D345" t="s">
        <v>2646</v>
      </c>
      <c r="E345">
        <v>0</v>
      </c>
      <c r="G345" t="s">
        <v>1581</v>
      </c>
      <c r="H345" t="s">
        <v>1579</v>
      </c>
    </row>
    <row r="346" spans="1:8" x14ac:dyDescent="0.25">
      <c r="A346" t="s">
        <v>1880</v>
      </c>
      <c r="B346" t="str">
        <f>VLOOKUP(D346,pgc_pyme!J:M,4,FALSE)</f>
        <v>Deudas con empresas del grupo y asociadas a corto plazo</v>
      </c>
      <c r="C346" t="s">
        <v>2976</v>
      </c>
      <c r="D346" t="s">
        <v>2646</v>
      </c>
      <c r="E346">
        <v>0</v>
      </c>
      <c r="G346" t="s">
        <v>1581</v>
      </c>
      <c r="H346" t="s">
        <v>1579</v>
      </c>
    </row>
    <row r="347" spans="1:8" x14ac:dyDescent="0.25">
      <c r="A347" t="s">
        <v>1881</v>
      </c>
      <c r="B347" t="str">
        <f>VLOOKUP(D347,pgc_pyme!J:M,4,FALSE)</f>
        <v>Deudas con entidades de crédito</v>
      </c>
      <c r="C347" t="s">
        <v>2977</v>
      </c>
      <c r="D347" t="s">
        <v>2641</v>
      </c>
      <c r="E347">
        <v>0</v>
      </c>
      <c r="G347" t="s">
        <v>1581</v>
      </c>
      <c r="H347" t="s">
        <v>1579</v>
      </c>
    </row>
    <row r="348" spans="1:8" x14ac:dyDescent="0.25">
      <c r="A348" t="s">
        <v>1882</v>
      </c>
      <c r="B348" t="str">
        <f>VLOOKUP(D348,pgc_pyme!J:M,4,FALSE)</f>
        <v>Deudas con empresas del grupo y asociadas a corto plazo</v>
      </c>
      <c r="C348" t="s">
        <v>2978</v>
      </c>
      <c r="D348" t="s">
        <v>2646</v>
      </c>
      <c r="E348">
        <v>0</v>
      </c>
      <c r="G348" t="s">
        <v>1581</v>
      </c>
      <c r="H348" t="s">
        <v>1579</v>
      </c>
    </row>
    <row r="349" spans="1:8" x14ac:dyDescent="0.25">
      <c r="A349" t="s">
        <v>1883</v>
      </c>
      <c r="B349" t="str">
        <f>VLOOKUP(D349,pgc_pyme!J:M,4,FALSE)</f>
        <v>Deudas con empresas del grupo y asociadas a corto plazo</v>
      </c>
      <c r="C349" t="s">
        <v>2979</v>
      </c>
      <c r="D349" t="s">
        <v>2646</v>
      </c>
      <c r="E349">
        <v>0</v>
      </c>
      <c r="G349" t="s">
        <v>1581</v>
      </c>
      <c r="H349" t="s">
        <v>1579</v>
      </c>
    </row>
    <row r="350" spans="1:8" x14ac:dyDescent="0.25">
      <c r="A350" t="s">
        <v>1884</v>
      </c>
      <c r="B350" t="str">
        <f>VLOOKUP(D350,pgc_pyme!J:M,4,FALSE)</f>
        <v>Otras deudas a corto plazo</v>
      </c>
      <c r="C350" t="s">
        <v>2980</v>
      </c>
      <c r="D350" t="s">
        <v>2644</v>
      </c>
      <c r="E350">
        <v>0</v>
      </c>
      <c r="G350" t="s">
        <v>1581</v>
      </c>
      <c r="H350" t="s">
        <v>1579</v>
      </c>
    </row>
    <row r="351" spans="1:8" x14ac:dyDescent="0.25">
      <c r="A351" t="s">
        <v>1885</v>
      </c>
      <c r="B351" t="str">
        <f>VLOOKUP(D351,pgc_pyme!J:M,4,FALSE)</f>
        <v>Deudas con empresas del grupo y asociadas a corto plazo</v>
      </c>
      <c r="C351" t="s">
        <v>2981</v>
      </c>
      <c r="D351" t="s">
        <v>2646</v>
      </c>
      <c r="E351">
        <v>0</v>
      </c>
      <c r="G351" t="s">
        <v>1581</v>
      </c>
      <c r="H351" t="s">
        <v>1579</v>
      </c>
    </row>
    <row r="352" spans="1:8" x14ac:dyDescent="0.25">
      <c r="A352" t="s">
        <v>1886</v>
      </c>
      <c r="B352" t="str">
        <f>VLOOKUP(D352,pgc_pyme!J:M,4,FALSE)</f>
        <v>Deudas con empresas del grupo y asociadas a corto plazo</v>
      </c>
      <c r="C352" t="s">
        <v>2982</v>
      </c>
      <c r="D352" t="s">
        <v>2646</v>
      </c>
      <c r="E352">
        <v>0</v>
      </c>
      <c r="G352" t="s">
        <v>1581</v>
      </c>
      <c r="H352" t="s">
        <v>1579</v>
      </c>
    </row>
    <row r="353" spans="1:8" x14ac:dyDescent="0.25">
      <c r="A353" t="s">
        <v>1887</v>
      </c>
      <c r="B353" t="str">
        <f>VLOOKUP(D353,pgc_pyme!J:M,4,FALSE)</f>
        <v>Acreedores por arrendamiento financiero</v>
      </c>
      <c r="C353" t="s">
        <v>2983</v>
      </c>
      <c r="D353" t="s">
        <v>2642</v>
      </c>
      <c r="E353">
        <v>0</v>
      </c>
      <c r="G353" t="s">
        <v>1581</v>
      </c>
      <c r="H353" t="s">
        <v>1579</v>
      </c>
    </row>
    <row r="354" spans="1:8" x14ac:dyDescent="0.25">
      <c r="A354" t="s">
        <v>1888</v>
      </c>
      <c r="B354" t="str">
        <f>VLOOKUP(D354,pgc_pyme!J:M,4,FALSE)</f>
        <v>Deudas con empresas del grupo y asociadas a corto plazo</v>
      </c>
      <c r="C354" t="s">
        <v>2984</v>
      </c>
      <c r="D354" t="s">
        <v>2646</v>
      </c>
      <c r="E354">
        <v>0</v>
      </c>
      <c r="G354" t="s">
        <v>1581</v>
      </c>
      <c r="H354" t="s">
        <v>1579</v>
      </c>
    </row>
    <row r="355" spans="1:8" x14ac:dyDescent="0.25">
      <c r="A355" t="s">
        <v>1889</v>
      </c>
      <c r="B355" t="str">
        <f>VLOOKUP(D355,pgc_pyme!J:M,4,FALSE)</f>
        <v>Deudas con empresas del grupo y asociadas a corto plazo</v>
      </c>
      <c r="C355" t="s">
        <v>2985</v>
      </c>
      <c r="D355" t="s">
        <v>2646</v>
      </c>
      <c r="E355">
        <v>0</v>
      </c>
      <c r="G355" t="s">
        <v>1581</v>
      </c>
      <c r="H355" t="s">
        <v>1579</v>
      </c>
    </row>
    <row r="356" spans="1:8" x14ac:dyDescent="0.25">
      <c r="A356" t="s">
        <v>1890</v>
      </c>
      <c r="B356" t="str">
        <f>VLOOKUP(D356,pgc_pyme!J:M,4,FALSE)</f>
        <v>Otras deudas a corto plazo</v>
      </c>
      <c r="C356" t="s">
        <v>2986</v>
      </c>
      <c r="D356" t="s">
        <v>2644</v>
      </c>
      <c r="E356">
        <v>0</v>
      </c>
      <c r="G356" t="s">
        <v>1581</v>
      </c>
      <c r="H356" t="s">
        <v>1579</v>
      </c>
    </row>
    <row r="357" spans="1:8" x14ac:dyDescent="0.25">
      <c r="A357" t="s">
        <v>1891</v>
      </c>
      <c r="B357" t="str">
        <f>VLOOKUP(D357,pgc_pyme!J:M,4,FALSE)</f>
        <v>Deudas con empresas del grupo y asociadas a corto plazo</v>
      </c>
      <c r="C357" t="s">
        <v>2987</v>
      </c>
      <c r="D357" t="s">
        <v>2646</v>
      </c>
      <c r="E357">
        <v>0</v>
      </c>
      <c r="G357" t="s">
        <v>1581</v>
      </c>
      <c r="H357" t="s">
        <v>1579</v>
      </c>
    </row>
    <row r="358" spans="1:8" x14ac:dyDescent="0.25">
      <c r="A358" t="s">
        <v>1892</v>
      </c>
      <c r="B358" t="str">
        <f>VLOOKUP(D358,pgc_pyme!J:M,4,FALSE)</f>
        <v>Deudas con empresas del grupo y asociadas a corto plazo</v>
      </c>
      <c r="C358" t="s">
        <v>2988</v>
      </c>
      <c r="D358" t="s">
        <v>2646</v>
      </c>
      <c r="E358">
        <v>0</v>
      </c>
      <c r="G358" t="s">
        <v>1581</v>
      </c>
      <c r="H358" t="s">
        <v>1579</v>
      </c>
    </row>
    <row r="359" spans="1:8" x14ac:dyDescent="0.25">
      <c r="A359" t="s">
        <v>1893</v>
      </c>
      <c r="B359" t="str">
        <f>VLOOKUP(D359,pgc_pyme!J:M,4,FALSE)</f>
        <v>Otras deudas a corto plazo</v>
      </c>
      <c r="C359" t="s">
        <v>2989</v>
      </c>
      <c r="D359" t="s">
        <v>2644</v>
      </c>
      <c r="E359">
        <v>0</v>
      </c>
      <c r="G359" t="s">
        <v>1581</v>
      </c>
      <c r="H359" t="s">
        <v>1579</v>
      </c>
    </row>
    <row r="360" spans="1:8" x14ac:dyDescent="0.25">
      <c r="A360" t="s">
        <v>1894</v>
      </c>
      <c r="B360" t="str">
        <f>VLOOKUP(D360,pgc_pyme!J:M,4,FALSE)</f>
        <v>Deudas con entidades de crédito</v>
      </c>
      <c r="C360" t="s">
        <v>2853</v>
      </c>
      <c r="D360" t="s">
        <v>2641</v>
      </c>
      <c r="E360">
        <v>1</v>
      </c>
      <c r="G360" t="s">
        <v>1581</v>
      </c>
      <c r="H360" t="s">
        <v>1579</v>
      </c>
    </row>
    <row r="361" spans="1:8" x14ac:dyDescent="0.25">
      <c r="A361" t="s">
        <v>1895</v>
      </c>
      <c r="B361" t="str">
        <f>VLOOKUP(D361,pgc_pyme!J:M,4,FALSE)</f>
        <v>Deudas a corto plazo con entidades de crédito</v>
      </c>
      <c r="C361" t="s">
        <v>2854</v>
      </c>
      <c r="D361" t="s">
        <v>2853</v>
      </c>
      <c r="E361">
        <v>0</v>
      </c>
      <c r="G361" t="s">
        <v>1581</v>
      </c>
      <c r="H361" t="s">
        <v>1579</v>
      </c>
    </row>
    <row r="362" spans="1:8" x14ac:dyDescent="0.25">
      <c r="A362" t="s">
        <v>1896</v>
      </c>
      <c r="B362" t="str">
        <f>VLOOKUP(D362,pgc_pyme!J:M,4,FALSE)</f>
        <v>Deudas a corto plazo con entidades de crédito</v>
      </c>
      <c r="C362" t="s">
        <v>2855</v>
      </c>
      <c r="D362" t="s">
        <v>2853</v>
      </c>
      <c r="E362">
        <v>0</v>
      </c>
      <c r="G362" t="s">
        <v>1581</v>
      </c>
      <c r="H362" t="s">
        <v>1579</v>
      </c>
    </row>
    <row r="363" spans="1:8" x14ac:dyDescent="0.25">
      <c r="A363" t="s">
        <v>1897</v>
      </c>
      <c r="B363" t="str">
        <f>VLOOKUP(D363,pgc_pyme!J:M,4,FALSE)</f>
        <v>Deudas a corto plazo con entidades de crédito</v>
      </c>
      <c r="C363" t="s">
        <v>2856</v>
      </c>
      <c r="D363" t="s">
        <v>2853</v>
      </c>
      <c r="E363">
        <v>0</v>
      </c>
      <c r="G363" t="s">
        <v>1581</v>
      </c>
      <c r="H363" t="s">
        <v>1579</v>
      </c>
    </row>
    <row r="364" spans="1:8" x14ac:dyDescent="0.25">
      <c r="A364" t="s">
        <v>1898</v>
      </c>
      <c r="B364" t="str">
        <f>VLOOKUP(D364,pgc_pyme!J:M,4,FALSE)</f>
        <v>Deudas a corto plazo con entidades de crédito</v>
      </c>
      <c r="C364" t="s">
        <v>2857</v>
      </c>
      <c r="D364" t="s">
        <v>2853</v>
      </c>
      <c r="E364">
        <v>0</v>
      </c>
      <c r="G364" t="s">
        <v>1581</v>
      </c>
      <c r="H364" t="s">
        <v>1579</v>
      </c>
    </row>
    <row r="365" spans="1:8" x14ac:dyDescent="0.25">
      <c r="A365" t="s">
        <v>1899</v>
      </c>
      <c r="B365" t="str">
        <f>VLOOKUP(D365,pgc_pyme!J:M,4,FALSE)</f>
        <v>Otras deudas a corto plazo</v>
      </c>
      <c r="C365" t="s">
        <v>2990</v>
      </c>
      <c r="D365" t="s">
        <v>2644</v>
      </c>
      <c r="E365">
        <v>0</v>
      </c>
      <c r="G365" t="s">
        <v>1581</v>
      </c>
      <c r="H365" t="s">
        <v>1579</v>
      </c>
    </row>
    <row r="366" spans="1:8" x14ac:dyDescent="0.25">
      <c r="A366" t="s">
        <v>1900</v>
      </c>
      <c r="B366" t="str">
        <f>VLOOKUP(D366,pgc_pyme!J:M,4,FALSE)</f>
        <v>Otras deudas a corto plazo</v>
      </c>
      <c r="C366" t="s">
        <v>2991</v>
      </c>
      <c r="D366" t="s">
        <v>2644</v>
      </c>
      <c r="E366">
        <v>0</v>
      </c>
      <c r="G366" t="s">
        <v>1581</v>
      </c>
      <c r="H366" t="s">
        <v>1579</v>
      </c>
    </row>
    <row r="367" spans="1:8" x14ac:dyDescent="0.25">
      <c r="A367" t="s">
        <v>1901</v>
      </c>
      <c r="B367" t="str">
        <f>VLOOKUP(D367,pgc_pyme!J:M,4,FALSE)</f>
        <v>Otras deudas a corto plazo</v>
      </c>
      <c r="C367" t="s">
        <v>2992</v>
      </c>
      <c r="D367" t="s">
        <v>2644</v>
      </c>
      <c r="E367">
        <v>0</v>
      </c>
      <c r="G367" t="s">
        <v>1581</v>
      </c>
      <c r="H367" t="s">
        <v>1579</v>
      </c>
    </row>
    <row r="368" spans="1:8" x14ac:dyDescent="0.25">
      <c r="A368" t="s">
        <v>1902</v>
      </c>
      <c r="B368" t="str">
        <f>VLOOKUP(D368,pgc_pyme!J:M,4,FALSE)</f>
        <v>Acreedores por arrendamiento financiero</v>
      </c>
      <c r="C368" t="s">
        <v>2993</v>
      </c>
      <c r="D368" t="s">
        <v>2642</v>
      </c>
      <c r="E368">
        <v>0</v>
      </c>
      <c r="G368" t="s">
        <v>1581</v>
      </c>
      <c r="H368" t="s">
        <v>1579</v>
      </c>
    </row>
    <row r="369" spans="1:8" x14ac:dyDescent="0.25">
      <c r="A369" t="s">
        <v>1903</v>
      </c>
      <c r="B369" t="str">
        <f>VLOOKUP(D369,pgc_pyme!J:M,4,FALSE)</f>
        <v>Otras deudas a corto plazo</v>
      </c>
      <c r="C369" t="s">
        <v>2994</v>
      </c>
      <c r="D369" t="s">
        <v>2644</v>
      </c>
      <c r="E369">
        <v>0</v>
      </c>
      <c r="G369" t="s">
        <v>1581</v>
      </c>
      <c r="H369" t="s">
        <v>1579</v>
      </c>
    </row>
    <row r="370" spans="1:8" x14ac:dyDescent="0.25">
      <c r="A370" t="s">
        <v>1904</v>
      </c>
      <c r="B370" t="str">
        <f>VLOOKUP(D370,pgc_pyme!J:M,4,FALSE)</f>
        <v>Otras deudas a corto plazo</v>
      </c>
      <c r="C370" t="s">
        <v>2995</v>
      </c>
      <c r="D370" t="s">
        <v>2644</v>
      </c>
      <c r="E370">
        <v>0</v>
      </c>
      <c r="G370" t="s">
        <v>1581</v>
      </c>
      <c r="H370" t="s">
        <v>1579</v>
      </c>
    </row>
    <row r="371" spans="1:8" x14ac:dyDescent="0.25">
      <c r="A371" t="s">
        <v>1905</v>
      </c>
      <c r="B371" t="str">
        <f>VLOOKUP(D371,pgc_pyme!J:M,4,FALSE)</f>
        <v>Deudas con entidades de crédito</v>
      </c>
      <c r="C371" t="s">
        <v>2996</v>
      </c>
      <c r="D371" t="s">
        <v>2641</v>
      </c>
      <c r="E371">
        <v>0</v>
      </c>
      <c r="G371" t="s">
        <v>1581</v>
      </c>
      <c r="H371" t="s">
        <v>1579</v>
      </c>
    </row>
    <row r="372" spans="1:8" x14ac:dyDescent="0.25">
      <c r="A372" t="s">
        <v>1906</v>
      </c>
      <c r="B372" t="str">
        <f>VLOOKUP(D372,pgc_pyme!J:M,4,FALSE)</f>
        <v>Otras deudas a corto plazo</v>
      </c>
      <c r="C372" t="s">
        <v>2997</v>
      </c>
      <c r="D372" t="s">
        <v>2644</v>
      </c>
      <c r="E372">
        <v>0</v>
      </c>
      <c r="G372" t="s">
        <v>1581</v>
      </c>
      <c r="H372" t="s">
        <v>1579</v>
      </c>
    </row>
    <row r="373" spans="1:8" x14ac:dyDescent="0.25">
      <c r="A373" t="s">
        <v>1907</v>
      </c>
      <c r="B373" t="str">
        <f>VLOOKUP(D373,pgc_pyme!J:M,4,FALSE)</f>
        <v>Provisiones a corto plazo</v>
      </c>
      <c r="C373" t="s">
        <v>2858</v>
      </c>
      <c r="D373" t="s">
        <v>2639</v>
      </c>
      <c r="E373">
        <v>1</v>
      </c>
      <c r="G373" t="s">
        <v>1581</v>
      </c>
      <c r="H373" t="s">
        <v>1579</v>
      </c>
    </row>
    <row r="374" spans="1:8" x14ac:dyDescent="0.25">
      <c r="A374" t="s">
        <v>1908</v>
      </c>
      <c r="B374" t="str">
        <f>VLOOKUP(D374,pgc_pyme!J:M,4,FALSE)</f>
        <v>Provisiones a corto plazo</v>
      </c>
      <c r="C374" t="s">
        <v>2859</v>
      </c>
      <c r="D374" t="s">
        <v>2858</v>
      </c>
      <c r="E374">
        <v>0</v>
      </c>
      <c r="G374" t="s">
        <v>1581</v>
      </c>
      <c r="H374" t="s">
        <v>1579</v>
      </c>
    </row>
    <row r="375" spans="1:8" x14ac:dyDescent="0.25">
      <c r="A375" t="s">
        <v>1909</v>
      </c>
      <c r="B375" t="str">
        <f>VLOOKUP(D375,pgc_pyme!J:M,4,FALSE)</f>
        <v>Provisiones a corto plazo</v>
      </c>
      <c r="C375" t="s">
        <v>2860</v>
      </c>
      <c r="D375" t="s">
        <v>2858</v>
      </c>
      <c r="E375">
        <v>0</v>
      </c>
      <c r="G375" t="s">
        <v>1581</v>
      </c>
      <c r="H375" t="s">
        <v>1579</v>
      </c>
    </row>
    <row r="376" spans="1:8" x14ac:dyDescent="0.25">
      <c r="A376" t="s">
        <v>1910</v>
      </c>
      <c r="B376" t="str">
        <f>VLOOKUP(D376,pgc_pyme!J:M,4,FALSE)</f>
        <v>Provisiones a corto plazo</v>
      </c>
      <c r="C376" t="s">
        <v>2861</v>
      </c>
      <c r="D376" t="s">
        <v>2858</v>
      </c>
      <c r="E376">
        <v>0</v>
      </c>
      <c r="G376" t="s">
        <v>1581</v>
      </c>
      <c r="H376" t="s">
        <v>1579</v>
      </c>
    </row>
    <row r="377" spans="1:8" x14ac:dyDescent="0.25">
      <c r="A377" t="s">
        <v>1911</v>
      </c>
      <c r="B377" t="str">
        <f>VLOOKUP(D377,pgc_pyme!J:M,4,FALSE)</f>
        <v>Provisiones a corto plazo</v>
      </c>
      <c r="C377" t="s">
        <v>2862</v>
      </c>
      <c r="D377" t="s">
        <v>2858</v>
      </c>
      <c r="E377">
        <v>0</v>
      </c>
      <c r="G377" t="s">
        <v>1581</v>
      </c>
      <c r="H377" t="s">
        <v>1579</v>
      </c>
    </row>
    <row r="378" spans="1:8" x14ac:dyDescent="0.25">
      <c r="A378" t="s">
        <v>1912</v>
      </c>
      <c r="B378" t="str">
        <f>VLOOKUP(D378,pgc_pyme!J:M,4,FALSE)</f>
        <v>Inversiones en empresas del grupo y asociadas a corto plazo</v>
      </c>
      <c r="C378" t="s">
        <v>2998</v>
      </c>
      <c r="D378" t="s">
        <v>2597</v>
      </c>
      <c r="E378">
        <v>0</v>
      </c>
      <c r="G378" t="s">
        <v>1578</v>
      </c>
      <c r="H378" t="s">
        <v>1579</v>
      </c>
    </row>
    <row r="379" spans="1:8" x14ac:dyDescent="0.25">
      <c r="A379" t="s">
        <v>1913</v>
      </c>
      <c r="B379" t="str">
        <f>VLOOKUP(D379,pgc_pyme!J:M,4,FALSE)</f>
        <v>Inversiones en empresas del grupo y asociadas a corto plazo</v>
      </c>
      <c r="C379" t="s">
        <v>2999</v>
      </c>
      <c r="D379" t="s">
        <v>2597</v>
      </c>
      <c r="E379">
        <v>0</v>
      </c>
      <c r="G379" t="s">
        <v>1578</v>
      </c>
      <c r="H379" t="s">
        <v>1579</v>
      </c>
    </row>
    <row r="380" spans="1:8" x14ac:dyDescent="0.25">
      <c r="A380" t="s">
        <v>1914</v>
      </c>
      <c r="B380" t="str">
        <f>VLOOKUP(D380,pgc_pyme!J:M,4,FALSE)</f>
        <v>Inversiones financieras a corto plazo</v>
      </c>
      <c r="C380" t="s">
        <v>3000</v>
      </c>
      <c r="D380" t="s">
        <v>2598</v>
      </c>
      <c r="E380">
        <v>0</v>
      </c>
      <c r="G380" t="s">
        <v>1578</v>
      </c>
      <c r="H380" t="s">
        <v>1579</v>
      </c>
    </row>
    <row r="381" spans="1:8" x14ac:dyDescent="0.25">
      <c r="A381" t="s">
        <v>1915</v>
      </c>
      <c r="B381" t="str">
        <f>VLOOKUP(D381,pgc_pyme!J:M,4,FALSE)</f>
        <v>Inversiones en empresas del grupo y asociadas a corto plazo</v>
      </c>
      <c r="C381" t="s">
        <v>3001</v>
      </c>
      <c r="D381" t="s">
        <v>2597</v>
      </c>
      <c r="E381">
        <v>0</v>
      </c>
      <c r="G381" t="s">
        <v>1578</v>
      </c>
      <c r="H381" t="s">
        <v>1579</v>
      </c>
    </row>
    <row r="382" spans="1:8" x14ac:dyDescent="0.25">
      <c r="A382" t="s">
        <v>1916</v>
      </c>
      <c r="B382" t="str">
        <f>VLOOKUP(D382,pgc_pyme!J:M,4,FALSE)</f>
        <v>Inversiones en empresas del grupo y asociadas a corto plazo</v>
      </c>
      <c r="C382" t="s">
        <v>3002</v>
      </c>
      <c r="D382" t="s">
        <v>2597</v>
      </c>
      <c r="E382">
        <v>0</v>
      </c>
      <c r="G382" t="s">
        <v>1578</v>
      </c>
      <c r="H382" t="s">
        <v>1579</v>
      </c>
    </row>
    <row r="383" spans="1:8" x14ac:dyDescent="0.25">
      <c r="A383" t="s">
        <v>1917</v>
      </c>
      <c r="B383" t="str">
        <f>VLOOKUP(D383,pgc_pyme!J:M,4,FALSE)</f>
        <v>Inversiones financieras a corto plazo</v>
      </c>
      <c r="C383" t="s">
        <v>3003</v>
      </c>
      <c r="D383" t="s">
        <v>2598</v>
      </c>
      <c r="E383">
        <v>0</v>
      </c>
      <c r="G383" t="s">
        <v>1578</v>
      </c>
      <c r="H383" t="s">
        <v>1579</v>
      </c>
    </row>
    <row r="384" spans="1:8" x14ac:dyDescent="0.25">
      <c r="A384" t="s">
        <v>1918</v>
      </c>
      <c r="B384" t="str">
        <f>VLOOKUP(D384,pgc_pyme!J:M,4,FALSE)</f>
        <v>Inversiones en empresas del grupo y asociadas a corto plazo</v>
      </c>
      <c r="C384" t="s">
        <v>3004</v>
      </c>
      <c r="D384" t="s">
        <v>2597</v>
      </c>
      <c r="E384">
        <v>0</v>
      </c>
      <c r="G384" t="s">
        <v>1578</v>
      </c>
      <c r="H384" t="s">
        <v>1579</v>
      </c>
    </row>
    <row r="385" spans="1:8" x14ac:dyDescent="0.25">
      <c r="A385" t="s">
        <v>1919</v>
      </c>
      <c r="B385" t="str">
        <f>VLOOKUP(D385,pgc_pyme!J:M,4,FALSE)</f>
        <v>Inversiones en empresas del grupo y asociadas a corto plazo</v>
      </c>
      <c r="C385" t="s">
        <v>3005</v>
      </c>
      <c r="D385" t="s">
        <v>2597</v>
      </c>
      <c r="E385">
        <v>0</v>
      </c>
      <c r="G385" t="s">
        <v>1578</v>
      </c>
      <c r="H385" t="s">
        <v>1579</v>
      </c>
    </row>
    <row r="386" spans="1:8" x14ac:dyDescent="0.25">
      <c r="A386" t="s">
        <v>1920</v>
      </c>
      <c r="B386" t="str">
        <f>VLOOKUP(D386,pgc_pyme!J:M,4,FALSE)</f>
        <v>Inversiones financieras a corto plazo</v>
      </c>
      <c r="C386" t="s">
        <v>3006</v>
      </c>
      <c r="D386" t="s">
        <v>2598</v>
      </c>
      <c r="E386">
        <v>0</v>
      </c>
      <c r="G386" t="s">
        <v>1578</v>
      </c>
      <c r="H386" t="s">
        <v>1579</v>
      </c>
    </row>
    <row r="387" spans="1:8" x14ac:dyDescent="0.25">
      <c r="A387" t="s">
        <v>1921</v>
      </c>
      <c r="B387" t="str">
        <f>VLOOKUP(D387,pgc_pyme!J:M,4,FALSE)</f>
        <v>Inversiones en empresas del grupo y asociadas a corto plazo</v>
      </c>
      <c r="C387" t="s">
        <v>3007</v>
      </c>
      <c r="D387" t="s">
        <v>2597</v>
      </c>
      <c r="E387">
        <v>0</v>
      </c>
      <c r="G387" t="s">
        <v>1578</v>
      </c>
      <c r="H387" t="s">
        <v>1579</v>
      </c>
    </row>
    <row r="388" spans="1:8" x14ac:dyDescent="0.25">
      <c r="A388" t="s">
        <v>1922</v>
      </c>
      <c r="B388" t="str">
        <f>VLOOKUP(D388,pgc_pyme!J:M,4,FALSE)</f>
        <v>Inversiones en empresas del grupo y asociadas a corto plazo</v>
      </c>
      <c r="C388" t="s">
        <v>3008</v>
      </c>
      <c r="D388" t="s">
        <v>2597</v>
      </c>
      <c r="E388">
        <v>0</v>
      </c>
      <c r="G388" t="s">
        <v>1578</v>
      </c>
      <c r="H388" t="s">
        <v>1579</v>
      </c>
    </row>
    <row r="389" spans="1:8" x14ac:dyDescent="0.25">
      <c r="A389" t="s">
        <v>1923</v>
      </c>
      <c r="B389" t="str">
        <f>VLOOKUP(D389,pgc_pyme!J:M,4,FALSE)</f>
        <v>Inversiones financieras a corto plazo</v>
      </c>
      <c r="C389" t="s">
        <v>3009</v>
      </c>
      <c r="D389" t="s">
        <v>2598</v>
      </c>
      <c r="E389">
        <v>0</v>
      </c>
      <c r="G389" t="s">
        <v>1578</v>
      </c>
      <c r="H389" t="s">
        <v>1579</v>
      </c>
    </row>
    <row r="390" spans="1:8" x14ac:dyDescent="0.25">
      <c r="A390" t="s">
        <v>1924</v>
      </c>
      <c r="B390" t="str">
        <f>VLOOKUP(D390,pgc_pyme!J:M,4,FALSE)</f>
        <v>Inversiones en empresas del grupo y asociadas a corto plazo</v>
      </c>
      <c r="C390" t="s">
        <v>3010</v>
      </c>
      <c r="D390" t="s">
        <v>2597</v>
      </c>
      <c r="E390">
        <v>0</v>
      </c>
      <c r="G390" t="s">
        <v>1578</v>
      </c>
      <c r="H390" t="s">
        <v>1579</v>
      </c>
    </row>
    <row r="391" spans="1:8" x14ac:dyDescent="0.25">
      <c r="A391" t="s">
        <v>1925</v>
      </c>
      <c r="B391" t="str">
        <f>VLOOKUP(D391,pgc_pyme!J:M,4,FALSE)</f>
        <v>Inversiones en empresas del grupo y asociadas a corto plazo</v>
      </c>
      <c r="C391" t="s">
        <v>3011</v>
      </c>
      <c r="D391" t="s">
        <v>2597</v>
      </c>
      <c r="E391">
        <v>0</v>
      </c>
      <c r="G391" t="s">
        <v>1578</v>
      </c>
      <c r="H391" t="s">
        <v>1579</v>
      </c>
    </row>
    <row r="392" spans="1:8" x14ac:dyDescent="0.25">
      <c r="A392" t="s">
        <v>1926</v>
      </c>
      <c r="B392" t="str">
        <f>VLOOKUP(D392,pgc_pyme!J:M,4,FALSE)</f>
        <v>Inversiones financieras a corto plazo</v>
      </c>
      <c r="C392" t="s">
        <v>3012</v>
      </c>
      <c r="D392" t="s">
        <v>2598</v>
      </c>
      <c r="E392">
        <v>0</v>
      </c>
      <c r="G392" t="s">
        <v>1578</v>
      </c>
      <c r="H392" t="s">
        <v>1579</v>
      </c>
    </row>
    <row r="393" spans="1:8" x14ac:dyDescent="0.25">
      <c r="A393" t="s">
        <v>1927</v>
      </c>
      <c r="B393" t="str">
        <f>VLOOKUP(D393,pgc_pyme!J:M,4,FALSE)</f>
        <v>Inversiones en empresas del grupo y asociadas a corto plazo</v>
      </c>
      <c r="C393" t="s">
        <v>3013</v>
      </c>
      <c r="D393" t="s">
        <v>2597</v>
      </c>
      <c r="E393">
        <v>0</v>
      </c>
      <c r="G393" t="s">
        <v>1578</v>
      </c>
      <c r="H393" t="s">
        <v>1579</v>
      </c>
    </row>
    <row r="394" spans="1:8" x14ac:dyDescent="0.25">
      <c r="A394" t="s">
        <v>1928</v>
      </c>
      <c r="B394" t="str">
        <f>VLOOKUP(D394,pgc_pyme!J:M,4,FALSE)</f>
        <v>Inversiones en empresas del grupo y asociadas a corto plazo</v>
      </c>
      <c r="C394" t="s">
        <v>3014</v>
      </c>
      <c r="D394" t="s">
        <v>2597</v>
      </c>
      <c r="E394">
        <v>0</v>
      </c>
      <c r="G394" t="s">
        <v>1578</v>
      </c>
      <c r="H394" t="s">
        <v>1579</v>
      </c>
    </row>
    <row r="395" spans="1:8" x14ac:dyDescent="0.25">
      <c r="A395" t="s">
        <v>1929</v>
      </c>
      <c r="B395" t="str">
        <f>VLOOKUP(D395,pgc_pyme!J:M,4,FALSE)</f>
        <v>Inversiones financieras a corto plazo</v>
      </c>
      <c r="C395" t="s">
        <v>3015</v>
      </c>
      <c r="D395" t="s">
        <v>2598</v>
      </c>
      <c r="E395">
        <v>0</v>
      </c>
      <c r="G395" t="s">
        <v>1578</v>
      </c>
      <c r="H395" t="s">
        <v>1579</v>
      </c>
    </row>
    <row r="396" spans="1:8" x14ac:dyDescent="0.25">
      <c r="A396" t="s">
        <v>1930</v>
      </c>
      <c r="B396" t="str">
        <f>VLOOKUP(D396,pgc_pyme!J:M,4,FALSE)</f>
        <v>Inversiones en empresas del grupo y asociadas a corto plazo</v>
      </c>
      <c r="C396" t="s">
        <v>3016</v>
      </c>
      <c r="D396" t="s">
        <v>2597</v>
      </c>
      <c r="E396">
        <v>0</v>
      </c>
      <c r="G396" t="s">
        <v>1578</v>
      </c>
      <c r="H396" t="s">
        <v>1579</v>
      </c>
    </row>
    <row r="397" spans="1:8" x14ac:dyDescent="0.25">
      <c r="A397" t="s">
        <v>1931</v>
      </c>
      <c r="B397" t="str">
        <f>VLOOKUP(D397,pgc_pyme!J:M,4,FALSE)</f>
        <v>Inversiones en empresas del grupo y asociadas a corto plazo</v>
      </c>
      <c r="C397" t="s">
        <v>3017</v>
      </c>
      <c r="D397" t="s">
        <v>2597</v>
      </c>
      <c r="E397">
        <v>0</v>
      </c>
      <c r="G397" t="s">
        <v>1578</v>
      </c>
      <c r="H397" t="s">
        <v>1579</v>
      </c>
    </row>
    <row r="398" spans="1:8" x14ac:dyDescent="0.25">
      <c r="A398" t="s">
        <v>1932</v>
      </c>
      <c r="B398" t="str">
        <f>VLOOKUP(D398,pgc_pyme!J:M,4,FALSE)</f>
        <v>Inversiones financieras a corto plazo</v>
      </c>
      <c r="C398" t="s">
        <v>3018</v>
      </c>
      <c r="D398" t="s">
        <v>2598</v>
      </c>
      <c r="E398">
        <v>0</v>
      </c>
      <c r="G398" t="s">
        <v>1578</v>
      </c>
      <c r="H398" t="s">
        <v>1579</v>
      </c>
    </row>
    <row r="399" spans="1:8" x14ac:dyDescent="0.25">
      <c r="A399" t="s">
        <v>1933</v>
      </c>
      <c r="B399" t="str">
        <f>VLOOKUP(D399,pgc_pyme!J:M,4,FALSE)</f>
        <v>Inversiones financieras a corto plazo</v>
      </c>
      <c r="C399" t="s">
        <v>3019</v>
      </c>
      <c r="D399" t="s">
        <v>2598</v>
      </c>
      <c r="E399">
        <v>0</v>
      </c>
      <c r="G399" t="s">
        <v>1578</v>
      </c>
      <c r="H399" t="s">
        <v>1579</v>
      </c>
    </row>
    <row r="400" spans="1:8" x14ac:dyDescent="0.25">
      <c r="A400" t="s">
        <v>1934</v>
      </c>
      <c r="B400" t="str">
        <f>VLOOKUP(D400,pgc_pyme!J:M,4,FALSE)</f>
        <v>Inversiones financieras a corto plazo</v>
      </c>
      <c r="C400" t="s">
        <v>3020</v>
      </c>
      <c r="D400" t="s">
        <v>2598</v>
      </c>
      <c r="E400">
        <v>0</v>
      </c>
      <c r="G400" t="s">
        <v>1578</v>
      </c>
      <c r="H400" t="s">
        <v>1579</v>
      </c>
    </row>
    <row r="401" spans="1:8" x14ac:dyDescent="0.25">
      <c r="A401" t="s">
        <v>1935</v>
      </c>
      <c r="B401" t="str">
        <f>VLOOKUP(D401,pgc_pyme!J:M,4,FALSE)</f>
        <v>Inversiones financieras a corto plazo</v>
      </c>
      <c r="C401" t="s">
        <v>3021</v>
      </c>
      <c r="D401" t="s">
        <v>2598</v>
      </c>
      <c r="E401">
        <v>0</v>
      </c>
      <c r="G401" t="s">
        <v>1578</v>
      </c>
      <c r="H401" t="s">
        <v>1579</v>
      </c>
    </row>
    <row r="402" spans="1:8" x14ac:dyDescent="0.25">
      <c r="A402" t="s">
        <v>1936</v>
      </c>
      <c r="B402" t="str">
        <f>VLOOKUP(D402,pgc_pyme!J:M,4,FALSE)</f>
        <v>Inversiones financieras a corto plazo</v>
      </c>
      <c r="C402" t="s">
        <v>3022</v>
      </c>
      <c r="D402" t="s">
        <v>2598</v>
      </c>
      <c r="E402">
        <v>0</v>
      </c>
      <c r="G402" t="s">
        <v>1578</v>
      </c>
      <c r="H402" t="s">
        <v>1579</v>
      </c>
    </row>
    <row r="403" spans="1:8" x14ac:dyDescent="0.25">
      <c r="A403" t="s">
        <v>1937</v>
      </c>
      <c r="B403" t="str">
        <f>VLOOKUP(D403,pgc_pyme!J:M,4,FALSE)</f>
        <v>Otros deudores</v>
      </c>
      <c r="C403" t="s">
        <v>3023</v>
      </c>
      <c r="D403" t="s">
        <v>2595</v>
      </c>
      <c r="E403">
        <v>0</v>
      </c>
      <c r="G403" t="s">
        <v>1578</v>
      </c>
      <c r="H403" t="s">
        <v>1579</v>
      </c>
    </row>
    <row r="404" spans="1:8" x14ac:dyDescent="0.25">
      <c r="A404" t="s">
        <v>1938</v>
      </c>
      <c r="B404" t="str">
        <f>VLOOKUP(D404,pgc_pyme!J:M,4,FALSE)</f>
        <v>Inversiones financieras a corto plazo</v>
      </c>
      <c r="C404" t="s">
        <v>3024</v>
      </c>
      <c r="D404" t="s">
        <v>2598</v>
      </c>
      <c r="E404">
        <v>0</v>
      </c>
      <c r="G404" t="s">
        <v>1578</v>
      </c>
      <c r="H404" t="s">
        <v>1579</v>
      </c>
    </row>
    <row r="405" spans="1:8" x14ac:dyDescent="0.25">
      <c r="A405" t="s">
        <v>1939</v>
      </c>
      <c r="B405" t="str">
        <f>VLOOKUP(D405,pgc_pyme!J:M,4,FALSE)</f>
        <v>Inversiones financieras a corto plazo</v>
      </c>
      <c r="C405" t="s">
        <v>3025</v>
      </c>
      <c r="D405" t="s">
        <v>2598</v>
      </c>
      <c r="E405">
        <v>0</v>
      </c>
      <c r="G405" t="s">
        <v>1578</v>
      </c>
      <c r="H405" t="s">
        <v>1579</v>
      </c>
    </row>
    <row r="406" spans="1:8" x14ac:dyDescent="0.25">
      <c r="A406" t="s">
        <v>1940</v>
      </c>
      <c r="B406" t="str">
        <f>VLOOKUP(D406,pgc_pyme!J:M,4,FALSE)</f>
        <v>Inversiones financieras a corto plazo</v>
      </c>
      <c r="C406" t="s">
        <v>3026</v>
      </c>
      <c r="D406" t="s">
        <v>2598</v>
      </c>
      <c r="E406">
        <v>0</v>
      </c>
      <c r="G406" t="s">
        <v>1578</v>
      </c>
      <c r="H406" t="s">
        <v>1579</v>
      </c>
    </row>
    <row r="407" spans="1:8" x14ac:dyDescent="0.25">
      <c r="A407" t="s">
        <v>1941</v>
      </c>
      <c r="B407" t="str">
        <f>VLOOKUP(D407,pgc_pyme!J:M,4,FALSE)</f>
        <v>Inversiones financieras a corto plazo</v>
      </c>
      <c r="C407" t="s">
        <v>3027</v>
      </c>
      <c r="D407" t="s">
        <v>2598</v>
      </c>
      <c r="E407">
        <v>0</v>
      </c>
      <c r="G407" t="s">
        <v>1578</v>
      </c>
      <c r="H407" t="s">
        <v>1579</v>
      </c>
    </row>
    <row r="408" spans="1:8" x14ac:dyDescent="0.25">
      <c r="A408" t="s">
        <v>1942</v>
      </c>
      <c r="B408" t="str">
        <f>VLOOKUP(D408,pgc_pyme!J:M,4,FALSE)</f>
        <v>Inversiones financieras a corto plazo</v>
      </c>
      <c r="C408" t="s">
        <v>3028</v>
      </c>
      <c r="D408" t="s">
        <v>2598</v>
      </c>
      <c r="E408">
        <v>0</v>
      </c>
      <c r="G408" t="s">
        <v>1578</v>
      </c>
      <c r="H408" t="s">
        <v>1579</v>
      </c>
    </row>
    <row r="409" spans="1:8" x14ac:dyDescent="0.25">
      <c r="A409" t="s">
        <v>1943</v>
      </c>
      <c r="B409" t="str">
        <f>VLOOKUP(D409,pgc_pyme!J:M,4,FALSE)</f>
        <v>Inversiones financieras a corto plazo</v>
      </c>
      <c r="C409" t="s">
        <v>3029</v>
      </c>
      <c r="D409" t="s">
        <v>2598</v>
      </c>
      <c r="E409">
        <v>0</v>
      </c>
      <c r="G409" t="s">
        <v>1578</v>
      </c>
      <c r="H409" t="s">
        <v>1579</v>
      </c>
    </row>
    <row r="410" spans="1:8" x14ac:dyDescent="0.25">
      <c r="A410" t="s">
        <v>1944</v>
      </c>
      <c r="B410" t="str">
        <f>VLOOKUP(D410,pgc_pyme!J:M,4,FALSE)</f>
        <v>Inversiones en empresas del grupo y asociadas a corto plazo</v>
      </c>
      <c r="C410" t="s">
        <v>3030</v>
      </c>
      <c r="D410" t="s">
        <v>2597</v>
      </c>
      <c r="E410">
        <v>0</v>
      </c>
      <c r="G410" t="s">
        <v>1578</v>
      </c>
      <c r="H410" t="s">
        <v>1579</v>
      </c>
    </row>
    <row r="411" spans="1:8" x14ac:dyDescent="0.25">
      <c r="A411" t="s">
        <v>1945</v>
      </c>
      <c r="B411" t="str">
        <f>VLOOKUP(D411,pgc_pyme!J:M,4,FALSE)</f>
        <v>Inversiones en empresas del grupo y asociadas a corto plazo</v>
      </c>
      <c r="C411" t="s">
        <v>3031</v>
      </c>
      <c r="D411" t="s">
        <v>2597</v>
      </c>
      <c r="E411">
        <v>0</v>
      </c>
      <c r="G411" t="s">
        <v>1578</v>
      </c>
      <c r="H411" t="s">
        <v>1579</v>
      </c>
    </row>
    <row r="412" spans="1:8" x14ac:dyDescent="0.25">
      <c r="A412" t="s">
        <v>1946</v>
      </c>
      <c r="B412" t="str">
        <f>VLOOKUP(D412,pgc_pyme!J:M,4,FALSE)</f>
        <v>Inversiones financieras a corto plazo</v>
      </c>
      <c r="C412" t="s">
        <v>3032</v>
      </c>
      <c r="D412" t="s">
        <v>2598</v>
      </c>
      <c r="E412">
        <v>0</v>
      </c>
      <c r="G412" t="s">
        <v>1578</v>
      </c>
      <c r="H412" t="s">
        <v>1579</v>
      </c>
    </row>
    <row r="413" spans="1:8" x14ac:dyDescent="0.25">
      <c r="A413" t="s">
        <v>1947</v>
      </c>
      <c r="B413" t="str">
        <f>VLOOKUP(D413,pgc_pyme!J:M,4,FALSE)</f>
        <v>Otras deudas a corto plazo</v>
      </c>
      <c r="C413" t="s">
        <v>3033</v>
      </c>
      <c r="D413" t="s">
        <v>2644</v>
      </c>
      <c r="E413">
        <v>0</v>
      </c>
      <c r="G413" t="s">
        <v>1578</v>
      </c>
      <c r="H413" t="s">
        <v>1579</v>
      </c>
    </row>
    <row r="414" spans="1:8" x14ac:dyDescent="0.25">
      <c r="A414" t="s">
        <v>1948</v>
      </c>
      <c r="B414" t="str">
        <f>VLOOKUP(D414,pgc_pyme!J:M,4,FALSE)</f>
        <v>Deudas con empresas del grupo y asociadas a corto plazo</v>
      </c>
      <c r="C414" t="s">
        <v>3034</v>
      </c>
      <c r="D414" t="s">
        <v>2646</v>
      </c>
      <c r="E414">
        <v>0</v>
      </c>
      <c r="G414" t="s">
        <v>1578</v>
      </c>
      <c r="H414" t="s">
        <v>1579</v>
      </c>
    </row>
    <row r="415" spans="1:8" x14ac:dyDescent="0.25">
      <c r="A415" t="s">
        <v>1949</v>
      </c>
      <c r="B415" t="str">
        <f>VLOOKUP(D415,pgc_pyme!J:M,4,FALSE)</f>
        <v>Deudas con empresas del grupo y asociadas a corto plazo</v>
      </c>
      <c r="C415" t="s">
        <v>3035</v>
      </c>
      <c r="D415" t="s">
        <v>2646</v>
      </c>
      <c r="E415">
        <v>0</v>
      </c>
      <c r="G415" t="s">
        <v>1578</v>
      </c>
      <c r="H415" t="s">
        <v>1579</v>
      </c>
    </row>
    <row r="416" spans="1:8" x14ac:dyDescent="0.25">
      <c r="A416" t="s">
        <v>1950</v>
      </c>
      <c r="B416" t="str">
        <f>VLOOKUP(D416,pgc_pyme!J:M,4,FALSE)</f>
        <v>Otras deudas a corto plazo</v>
      </c>
      <c r="C416" t="s">
        <v>3036</v>
      </c>
      <c r="D416" t="s">
        <v>2644</v>
      </c>
      <c r="E416">
        <v>0</v>
      </c>
      <c r="G416" t="s">
        <v>1578</v>
      </c>
      <c r="H416" t="s">
        <v>1579</v>
      </c>
    </row>
    <row r="417" spans="1:8" x14ac:dyDescent="0.25">
      <c r="A417" t="s">
        <v>1951</v>
      </c>
      <c r="B417" t="str">
        <f>VLOOKUP(D417,pgc_pyme!J:M,4,FALSE)</f>
        <v>Otras deudas a corto plazo</v>
      </c>
      <c r="C417" t="s">
        <v>3037</v>
      </c>
      <c r="D417" t="s">
        <v>2644</v>
      </c>
      <c r="E417">
        <v>0</v>
      </c>
      <c r="G417" t="s">
        <v>1578</v>
      </c>
      <c r="H417" t="s">
        <v>1579</v>
      </c>
    </row>
    <row r="418" spans="1:8" x14ac:dyDescent="0.25">
      <c r="A418" t="s">
        <v>1952</v>
      </c>
      <c r="B418" t="str">
        <f>VLOOKUP(D418,pgc_pyme!J:M,4,FALSE)</f>
        <v>Dividendo a cuenta</v>
      </c>
      <c r="C418" t="s">
        <v>3038</v>
      </c>
      <c r="D418" t="s">
        <v>2622</v>
      </c>
      <c r="E418">
        <v>0</v>
      </c>
      <c r="G418" t="s">
        <v>1578</v>
      </c>
      <c r="H418" t="s">
        <v>1579</v>
      </c>
    </row>
    <row r="419" spans="1:8" x14ac:dyDescent="0.25">
      <c r="A419" t="s">
        <v>1953</v>
      </c>
      <c r="B419" t="str">
        <f>VLOOKUP(D419,pgc_pyme!J:M,4,FALSE)</f>
        <v>Accionistas (socios) por desembolsos exigidos</v>
      </c>
      <c r="C419" t="s">
        <v>3039</v>
      </c>
      <c r="D419" t="s">
        <v>2593</v>
      </c>
      <c r="E419">
        <v>0</v>
      </c>
      <c r="G419" t="s">
        <v>1578</v>
      </c>
      <c r="H419" t="s">
        <v>1579</v>
      </c>
    </row>
    <row r="420" spans="1:8" x14ac:dyDescent="0.25">
      <c r="A420" t="s">
        <v>1954</v>
      </c>
      <c r="B420" t="str">
        <f>VLOOKUP(D420,pgc_pyme!J:M,4,FALSE)</f>
        <v>Inversiones financieras a corto plazo</v>
      </c>
      <c r="C420" t="s">
        <v>3040</v>
      </c>
      <c r="D420" t="s">
        <v>2598</v>
      </c>
      <c r="E420">
        <v>0</v>
      </c>
      <c r="G420" t="s">
        <v>1578</v>
      </c>
      <c r="H420" t="s">
        <v>1579</v>
      </c>
    </row>
    <row r="421" spans="1:8" x14ac:dyDescent="0.25">
      <c r="A421" t="s">
        <v>1955</v>
      </c>
      <c r="B421" t="str">
        <f>VLOOKUP(D421,pgc_pyme!J:M,4,FALSE)</f>
        <v>Otras deudas a corto plazo</v>
      </c>
      <c r="C421" t="s">
        <v>3041</v>
      </c>
      <c r="D421" t="s">
        <v>2644</v>
      </c>
      <c r="E421">
        <v>0</v>
      </c>
      <c r="G421" t="s">
        <v>1581</v>
      </c>
      <c r="H421" t="s">
        <v>1579</v>
      </c>
    </row>
    <row r="422" spans="1:8" x14ac:dyDescent="0.25">
      <c r="A422" t="s">
        <v>1956</v>
      </c>
      <c r="B422" t="str">
        <f>VLOOKUP(D422,pgc_pyme!J:M,4,FALSE)</f>
        <v>Otras deudas a corto plazo</v>
      </c>
      <c r="C422" t="s">
        <v>3042</v>
      </c>
      <c r="D422" t="s">
        <v>2644</v>
      </c>
      <c r="E422">
        <v>0</v>
      </c>
      <c r="G422" t="s">
        <v>1581</v>
      </c>
      <c r="H422" t="s">
        <v>1579</v>
      </c>
    </row>
    <row r="423" spans="1:8" x14ac:dyDescent="0.25">
      <c r="A423" t="s">
        <v>1957</v>
      </c>
      <c r="B423" t="str">
        <f>VLOOKUP(D423,pgc_pyme!J:M,4,FALSE)</f>
        <v>Otras deudas a corto plazo</v>
      </c>
      <c r="C423" t="s">
        <v>3043</v>
      </c>
      <c r="D423" t="s">
        <v>2644</v>
      </c>
      <c r="E423">
        <v>0</v>
      </c>
      <c r="G423" t="s">
        <v>1581</v>
      </c>
      <c r="H423" t="s">
        <v>1579</v>
      </c>
    </row>
    <row r="424" spans="1:8" x14ac:dyDescent="0.25">
      <c r="A424" t="s">
        <v>1958</v>
      </c>
      <c r="B424" t="str">
        <f>VLOOKUP(D424,pgc_pyme!J:M,4,FALSE)</f>
        <v>Inversiones financieras a corto plazo</v>
      </c>
      <c r="C424" t="s">
        <v>3044</v>
      </c>
      <c r="D424" t="s">
        <v>2598</v>
      </c>
      <c r="E424">
        <v>0</v>
      </c>
      <c r="G424" t="s">
        <v>1578</v>
      </c>
      <c r="H424" t="s">
        <v>1579</v>
      </c>
    </row>
    <row r="425" spans="1:8" x14ac:dyDescent="0.25">
      <c r="A425" t="s">
        <v>1959</v>
      </c>
      <c r="B425" t="str">
        <f>VLOOKUP(D425,pgc_pyme!J:M,4,FALSE)</f>
        <v>Inversiones financieras a corto plazo</v>
      </c>
      <c r="C425" t="s">
        <v>3045</v>
      </c>
      <c r="D425" t="s">
        <v>2598</v>
      </c>
      <c r="E425">
        <v>0</v>
      </c>
      <c r="G425" t="s">
        <v>1578</v>
      </c>
      <c r="H425" t="s">
        <v>1579</v>
      </c>
    </row>
    <row r="426" spans="1:8" x14ac:dyDescent="0.25">
      <c r="A426" t="s">
        <v>1960</v>
      </c>
      <c r="B426" t="str">
        <f>VLOOKUP(D426,pgc_pyme!J:M,4,FALSE)</f>
        <v>Periodificaciones a corto plazo</v>
      </c>
      <c r="C426" t="s">
        <v>3046</v>
      </c>
      <c r="D426" t="s">
        <v>2600</v>
      </c>
      <c r="E426">
        <v>0</v>
      </c>
      <c r="G426" t="s">
        <v>1578</v>
      </c>
      <c r="H426" t="s">
        <v>1579</v>
      </c>
    </row>
    <row r="427" spans="1:8" x14ac:dyDescent="0.25">
      <c r="A427" t="s">
        <v>1961</v>
      </c>
      <c r="B427" t="str">
        <f>VLOOKUP(D427,pgc_pyme!J:M,4,FALSE)</f>
        <v>Periodificaciones a corto plazo</v>
      </c>
      <c r="C427" t="s">
        <v>3047</v>
      </c>
      <c r="D427" t="s">
        <v>2651</v>
      </c>
      <c r="E427">
        <v>0</v>
      </c>
      <c r="G427" t="s">
        <v>1581</v>
      </c>
      <c r="H427" t="s">
        <v>1579</v>
      </c>
    </row>
    <row r="428" spans="1:8" x14ac:dyDescent="0.25">
      <c r="A428" t="s">
        <v>3092</v>
      </c>
      <c r="B428" t="str">
        <f>VLOOKUP(D428,pgc_pyme!J:M,4,FALSE)</f>
        <v>Efectivo y otros activos líquidos equivalentes</v>
      </c>
      <c r="C428" t="s">
        <v>2863</v>
      </c>
      <c r="D428" t="s">
        <v>2603</v>
      </c>
      <c r="E428">
        <v>1</v>
      </c>
      <c r="G428" t="s">
        <v>1578</v>
      </c>
      <c r="H428" t="s">
        <v>1579</v>
      </c>
    </row>
    <row r="429" spans="1:8" x14ac:dyDescent="0.25">
      <c r="A429" t="s">
        <v>1962</v>
      </c>
      <c r="B429" t="str">
        <f>VLOOKUP(D429,pgc_pyme!J:M,4,FALSE)</f>
        <v>Tesorería</v>
      </c>
      <c r="C429" t="s">
        <v>2864</v>
      </c>
      <c r="D429" t="s">
        <v>2863</v>
      </c>
      <c r="E429">
        <v>0</v>
      </c>
      <c r="F429" t="s">
        <v>1591</v>
      </c>
      <c r="G429" t="s">
        <v>1578</v>
      </c>
      <c r="H429" t="s">
        <v>1579</v>
      </c>
    </row>
    <row r="430" spans="1:8" x14ac:dyDescent="0.25">
      <c r="A430" t="s">
        <v>1963</v>
      </c>
      <c r="B430" t="str">
        <f>VLOOKUP(D430,pgc_pyme!J:M,4,FALSE)</f>
        <v>Tesorería</v>
      </c>
      <c r="C430" t="s">
        <v>2865</v>
      </c>
      <c r="D430" t="s">
        <v>2863</v>
      </c>
      <c r="E430">
        <v>0</v>
      </c>
      <c r="F430" t="s">
        <v>1591</v>
      </c>
      <c r="G430" t="s">
        <v>1578</v>
      </c>
      <c r="H430" t="s">
        <v>1579</v>
      </c>
    </row>
    <row r="431" spans="1:8" x14ac:dyDescent="0.25">
      <c r="A431" t="s">
        <v>1964</v>
      </c>
      <c r="B431" t="str">
        <f>VLOOKUP(D431,pgc_pyme!J:M,4,FALSE)</f>
        <v>Tesorería</v>
      </c>
      <c r="C431" t="s">
        <v>2866</v>
      </c>
      <c r="D431" t="s">
        <v>2863</v>
      </c>
      <c r="E431">
        <v>0</v>
      </c>
      <c r="F431" t="s">
        <v>1589</v>
      </c>
      <c r="G431" t="s">
        <v>1578</v>
      </c>
      <c r="H431" t="s">
        <v>1579</v>
      </c>
    </row>
    <row r="432" spans="1:8" x14ac:dyDescent="0.25">
      <c r="A432" t="s">
        <v>1965</v>
      </c>
      <c r="B432" t="str">
        <f>VLOOKUP(D432,pgc_pyme!J:M,4,FALSE)</f>
        <v>Tesorería</v>
      </c>
      <c r="C432" t="s">
        <v>2867</v>
      </c>
      <c r="D432" t="s">
        <v>2863</v>
      </c>
      <c r="E432">
        <v>0</v>
      </c>
      <c r="F432" t="s">
        <v>1589</v>
      </c>
      <c r="G432" t="s">
        <v>1578</v>
      </c>
      <c r="H432" t="s">
        <v>1579</v>
      </c>
    </row>
    <row r="433" spans="1:8" x14ac:dyDescent="0.25">
      <c r="A433" t="s">
        <v>1966</v>
      </c>
      <c r="B433" t="str">
        <f>VLOOKUP(D433,pgc_pyme!J:M,4,FALSE)</f>
        <v>Tesorería</v>
      </c>
      <c r="C433" t="s">
        <v>2868</v>
      </c>
      <c r="D433" t="s">
        <v>2863</v>
      </c>
      <c r="E433">
        <v>0</v>
      </c>
      <c r="F433" t="s">
        <v>1589</v>
      </c>
      <c r="G433" t="s">
        <v>1578</v>
      </c>
      <c r="H433" t="s">
        <v>1579</v>
      </c>
    </row>
    <row r="434" spans="1:8" x14ac:dyDescent="0.25">
      <c r="A434" t="s">
        <v>1967</v>
      </c>
      <c r="B434" t="str">
        <f>VLOOKUP(D434,pgc_pyme!J:M,4,FALSE)</f>
        <v>Tesorería</v>
      </c>
      <c r="C434" t="s">
        <v>2869</v>
      </c>
      <c r="D434" t="s">
        <v>2863</v>
      </c>
      <c r="E434">
        <v>0</v>
      </c>
      <c r="F434" t="s">
        <v>1589</v>
      </c>
      <c r="G434" t="s">
        <v>1578</v>
      </c>
      <c r="H434" t="s">
        <v>1579</v>
      </c>
    </row>
    <row r="435" spans="1:8" x14ac:dyDescent="0.25">
      <c r="A435" t="s">
        <v>1968</v>
      </c>
      <c r="B435" t="str">
        <f>VLOOKUP(D435,pgc_pyme!J:M,4,FALSE)</f>
        <v>Tesorería</v>
      </c>
      <c r="C435" t="s">
        <v>2870</v>
      </c>
      <c r="D435" t="s">
        <v>2863</v>
      </c>
      <c r="E435">
        <v>0</v>
      </c>
      <c r="F435" t="s">
        <v>1589</v>
      </c>
      <c r="G435" t="s">
        <v>1578</v>
      </c>
      <c r="H435" t="s">
        <v>1579</v>
      </c>
    </row>
    <row r="436" spans="1:8" x14ac:dyDescent="0.25">
      <c r="A436" t="s">
        <v>1970</v>
      </c>
      <c r="B436" t="str">
        <f>VLOOKUP(D436,pgc_pyme!J:M,4,FALSE)</f>
        <v>Inversiones en empresas del grupo y asociadas a corto plazo</v>
      </c>
      <c r="C436" t="s">
        <v>3048</v>
      </c>
      <c r="D436" t="s">
        <v>2597</v>
      </c>
      <c r="E436">
        <v>0</v>
      </c>
      <c r="G436" t="s">
        <v>1578</v>
      </c>
      <c r="H436" t="s">
        <v>1579</v>
      </c>
    </row>
    <row r="437" spans="1:8" x14ac:dyDescent="0.25">
      <c r="A437" t="s">
        <v>1971</v>
      </c>
      <c r="B437" t="str">
        <f>VLOOKUP(D437,pgc_pyme!J:M,4,FALSE)</f>
        <v>Inversiones en empresas del grupo y asociadas a corto plazo</v>
      </c>
      <c r="C437" t="s">
        <v>3049</v>
      </c>
      <c r="D437" t="s">
        <v>2597</v>
      </c>
      <c r="E437">
        <v>0</v>
      </c>
      <c r="G437" t="s">
        <v>1578</v>
      </c>
      <c r="H437" t="s">
        <v>1579</v>
      </c>
    </row>
    <row r="438" spans="1:8" x14ac:dyDescent="0.25">
      <c r="A438" t="s">
        <v>1972</v>
      </c>
      <c r="B438" t="str">
        <f>VLOOKUP(D438,pgc_pyme!J:M,4,FALSE)</f>
        <v>Inversiones en empresas del grupo y asociadas a corto plazo</v>
      </c>
      <c r="C438" t="s">
        <v>3050</v>
      </c>
      <c r="D438" t="s">
        <v>2597</v>
      </c>
      <c r="E438">
        <v>0</v>
      </c>
      <c r="G438" t="s">
        <v>1578</v>
      </c>
      <c r="H438" t="s">
        <v>1579</v>
      </c>
    </row>
    <row r="439" spans="1:8" x14ac:dyDescent="0.25">
      <c r="A439" t="s">
        <v>1973</v>
      </c>
      <c r="B439" t="str">
        <f>VLOOKUP(D439,pgc_pyme!J:M,4,FALSE)</f>
        <v>Inversiones en empresas del grupo y asociadas a corto plazo</v>
      </c>
      <c r="C439" t="s">
        <v>3051</v>
      </c>
      <c r="D439" t="s">
        <v>2597</v>
      </c>
      <c r="E439">
        <v>0</v>
      </c>
      <c r="G439" t="s">
        <v>1578</v>
      </c>
      <c r="H439" t="s">
        <v>1579</v>
      </c>
    </row>
    <row r="440" spans="1:8" x14ac:dyDescent="0.25">
      <c r="A440" t="s">
        <v>1974</v>
      </c>
      <c r="B440" t="str">
        <f>VLOOKUP(D440,pgc_pyme!J:M,4,FALSE)</f>
        <v>Inversiones financieras a corto plazo</v>
      </c>
      <c r="C440" t="s">
        <v>3052</v>
      </c>
      <c r="D440" t="s">
        <v>2598</v>
      </c>
      <c r="E440">
        <v>0</v>
      </c>
      <c r="G440" t="s">
        <v>1578</v>
      </c>
      <c r="H440" t="s">
        <v>1579</v>
      </c>
    </row>
    <row r="441" spans="1:8" x14ac:dyDescent="0.25">
      <c r="A441" t="s">
        <v>1975</v>
      </c>
      <c r="B441" t="str">
        <f>VLOOKUP(D441,pgc_pyme!J:M,4,FALSE)</f>
        <v>Inversiones en empresas del grupo y asociadas a corto plazo</v>
      </c>
      <c r="C441" t="s">
        <v>3053</v>
      </c>
      <c r="D441" t="s">
        <v>2597</v>
      </c>
      <c r="E441">
        <v>0</v>
      </c>
      <c r="G441" t="s">
        <v>1578</v>
      </c>
      <c r="H441" t="s">
        <v>1579</v>
      </c>
    </row>
    <row r="442" spans="1:8" x14ac:dyDescent="0.25">
      <c r="A442" t="s">
        <v>1976</v>
      </c>
      <c r="B442" t="str">
        <f>VLOOKUP(D442,pgc_pyme!J:M,4,FALSE)</f>
        <v>Inversiones en empresas del grupo y asociadas a corto plazo</v>
      </c>
      <c r="C442" t="s">
        <v>3054</v>
      </c>
      <c r="D442" t="s">
        <v>2597</v>
      </c>
      <c r="E442">
        <v>0</v>
      </c>
      <c r="G442" t="s">
        <v>1578</v>
      </c>
      <c r="H442" t="s">
        <v>1579</v>
      </c>
    </row>
    <row r="443" spans="1:8" x14ac:dyDescent="0.25">
      <c r="A443" t="s">
        <v>1977</v>
      </c>
      <c r="B443" t="str">
        <f>VLOOKUP(D443,pgc_pyme!J:M,4,FALSE)</f>
        <v>Inversiones financieras a corto plazo</v>
      </c>
      <c r="C443" t="s">
        <v>3055</v>
      </c>
      <c r="D443" t="s">
        <v>2598</v>
      </c>
      <c r="E443">
        <v>0</v>
      </c>
      <c r="G443" t="s">
        <v>1578</v>
      </c>
      <c r="H443" t="s">
        <v>1579</v>
      </c>
    </row>
    <row r="444" spans="1:8" x14ac:dyDescent="0.25">
      <c r="A444" t="s">
        <v>1978</v>
      </c>
      <c r="B444" t="str">
        <f>VLOOKUP(D444,pgc_pyme!J:M,4,FALSE)</f>
        <v>Inversiones financieras a corto plazo</v>
      </c>
      <c r="C444" t="s">
        <v>3056</v>
      </c>
      <c r="D444" t="s">
        <v>2598</v>
      </c>
      <c r="E444">
        <v>0</v>
      </c>
      <c r="G444" t="s">
        <v>1578</v>
      </c>
      <c r="H444" t="s">
        <v>1579</v>
      </c>
    </row>
    <row r="445" spans="1:8" x14ac:dyDescent="0.25">
      <c r="A445" t="s">
        <v>1979</v>
      </c>
      <c r="B445" t="str">
        <f>VLOOKUP(D445,pgc_pyme!J:M,4,FALSE)</f>
        <v>Inversiones financieras a corto plazo</v>
      </c>
      <c r="C445" t="s">
        <v>3057</v>
      </c>
      <c r="D445" t="s">
        <v>2598</v>
      </c>
      <c r="E445">
        <v>0</v>
      </c>
      <c r="G445" t="s">
        <v>1578</v>
      </c>
      <c r="H445" t="s">
        <v>1579</v>
      </c>
    </row>
    <row r="446" spans="1:8" x14ac:dyDescent="0.25">
      <c r="A446" t="s">
        <v>3081</v>
      </c>
      <c r="B446" t="str">
        <f>VLOOKUP(D446,pgc_pyme!J:M,4,FALSE)</f>
        <v>GASTOS</v>
      </c>
      <c r="C446" t="s">
        <v>2273</v>
      </c>
      <c r="D446" t="s">
        <v>2268</v>
      </c>
      <c r="E446">
        <v>1</v>
      </c>
      <c r="F446" t="s">
        <v>1584</v>
      </c>
      <c r="G446" t="s">
        <v>1585</v>
      </c>
      <c r="H446" t="s">
        <v>1579</v>
      </c>
    </row>
    <row r="447" spans="1:8" x14ac:dyDescent="0.25">
      <c r="A447" t="s">
        <v>1980</v>
      </c>
      <c r="B447" t="str">
        <f>VLOOKUP(D447,pgc_pyme!J:M,4,FALSE)</f>
        <v>Compras</v>
      </c>
      <c r="C447" t="s">
        <v>2334</v>
      </c>
      <c r="D447" t="s">
        <v>2273</v>
      </c>
      <c r="E447">
        <v>0</v>
      </c>
      <c r="F447" t="s">
        <v>1596</v>
      </c>
      <c r="G447" t="s">
        <v>1585</v>
      </c>
      <c r="H447" t="s">
        <v>1579</v>
      </c>
    </row>
    <row r="448" spans="1:8" x14ac:dyDescent="0.25">
      <c r="A448" t="s">
        <v>1981</v>
      </c>
      <c r="B448" t="str">
        <f>VLOOKUP(D448,pgc_pyme!J:M,4,FALSE)</f>
        <v>Compras</v>
      </c>
      <c r="C448" t="s">
        <v>2335</v>
      </c>
      <c r="D448" t="s">
        <v>2273</v>
      </c>
      <c r="E448">
        <v>0</v>
      </c>
      <c r="F448" t="s">
        <v>1584</v>
      </c>
      <c r="G448" t="s">
        <v>1585</v>
      </c>
      <c r="H448" t="s">
        <v>1579</v>
      </c>
    </row>
    <row r="449" spans="1:8" x14ac:dyDescent="0.25">
      <c r="A449" t="s">
        <v>1982</v>
      </c>
      <c r="B449" t="str">
        <f>VLOOKUP(D449,pgc_pyme!J:M,4,FALSE)</f>
        <v>Compras</v>
      </c>
      <c r="C449" t="s">
        <v>2336</v>
      </c>
      <c r="D449" t="s">
        <v>2273</v>
      </c>
      <c r="E449">
        <v>0</v>
      </c>
      <c r="F449" t="s">
        <v>1584</v>
      </c>
      <c r="G449" t="s">
        <v>1585</v>
      </c>
      <c r="H449" t="s">
        <v>1579</v>
      </c>
    </row>
    <row r="450" spans="1:8" x14ac:dyDescent="0.25">
      <c r="A450" t="s">
        <v>1983</v>
      </c>
      <c r="B450" t="str">
        <f>VLOOKUP(D450,pgc_pyme!J:M,4,FALSE)</f>
        <v>Compras</v>
      </c>
      <c r="C450" t="s">
        <v>2274</v>
      </c>
      <c r="D450" t="s">
        <v>2273</v>
      </c>
      <c r="E450">
        <v>1</v>
      </c>
      <c r="F450" t="s">
        <v>1584</v>
      </c>
      <c r="G450" t="s">
        <v>1585</v>
      </c>
      <c r="H450" t="s">
        <v>1579</v>
      </c>
    </row>
    <row r="451" spans="1:8" x14ac:dyDescent="0.25">
      <c r="A451" t="s">
        <v>1984</v>
      </c>
      <c r="B451" t="str">
        <f>VLOOKUP(D451,pgc_pyme!J:M,4,FALSE)</f>
        <v>Descuentos sobre compras por pronto pago</v>
      </c>
      <c r="C451" t="s">
        <v>2337</v>
      </c>
      <c r="D451" t="s">
        <v>2274</v>
      </c>
      <c r="E451">
        <v>0</v>
      </c>
      <c r="F451" t="s">
        <v>1584</v>
      </c>
      <c r="G451" t="s">
        <v>1585</v>
      </c>
      <c r="H451" t="s">
        <v>1579</v>
      </c>
    </row>
    <row r="452" spans="1:8" x14ac:dyDescent="0.25">
      <c r="A452" t="s">
        <v>1985</v>
      </c>
      <c r="B452" t="str">
        <f>VLOOKUP(D452,pgc_pyme!J:M,4,FALSE)</f>
        <v>Descuentos sobre compras por pronto pago</v>
      </c>
      <c r="C452" t="s">
        <v>2338</v>
      </c>
      <c r="D452" t="s">
        <v>2274</v>
      </c>
      <c r="E452">
        <v>0</v>
      </c>
      <c r="F452" t="s">
        <v>1584</v>
      </c>
      <c r="G452" t="s">
        <v>1585</v>
      </c>
      <c r="H452" t="s">
        <v>1579</v>
      </c>
    </row>
    <row r="453" spans="1:8" x14ac:dyDescent="0.25">
      <c r="A453" t="s">
        <v>1986</v>
      </c>
      <c r="B453" t="str">
        <f>VLOOKUP(D453,pgc_pyme!J:M,4,FALSE)</f>
        <v>Descuentos sobre compras por pronto pago</v>
      </c>
      <c r="C453" t="s">
        <v>2339</v>
      </c>
      <c r="D453" t="s">
        <v>2274</v>
      </c>
      <c r="E453">
        <v>0</v>
      </c>
      <c r="F453" t="s">
        <v>1584</v>
      </c>
      <c r="G453" t="s">
        <v>1585</v>
      </c>
      <c r="H453" t="s">
        <v>1579</v>
      </c>
    </row>
    <row r="454" spans="1:8" x14ac:dyDescent="0.25">
      <c r="A454" t="s">
        <v>1987</v>
      </c>
      <c r="B454" t="str">
        <f>VLOOKUP(D454,pgc_pyme!J:M,4,FALSE)</f>
        <v>Compras</v>
      </c>
      <c r="C454" t="s">
        <v>2340</v>
      </c>
      <c r="D454" t="s">
        <v>2273</v>
      </c>
      <c r="E454">
        <v>0</v>
      </c>
      <c r="F454" t="s">
        <v>1584</v>
      </c>
      <c r="G454" t="s">
        <v>1585</v>
      </c>
      <c r="H454" t="s">
        <v>1579</v>
      </c>
    </row>
    <row r="455" spans="1:8" x14ac:dyDescent="0.25">
      <c r="A455" t="s">
        <v>1988</v>
      </c>
      <c r="B455" t="str">
        <f>VLOOKUP(D455,pgc_pyme!J:M,4,FALSE)</f>
        <v>Compras</v>
      </c>
      <c r="C455" t="s">
        <v>2275</v>
      </c>
      <c r="D455" t="s">
        <v>2273</v>
      </c>
      <c r="E455">
        <v>1</v>
      </c>
      <c r="F455" t="s">
        <v>1584</v>
      </c>
      <c r="G455" t="s">
        <v>1585</v>
      </c>
      <c r="H455" t="s">
        <v>1579</v>
      </c>
    </row>
    <row r="456" spans="1:8" x14ac:dyDescent="0.25">
      <c r="A456" t="s">
        <v>1989</v>
      </c>
      <c r="B456" t="str">
        <f>VLOOKUP(D456,pgc_pyme!J:M,4,FALSE)</f>
        <v>Devoluciones de compras y operaciones similares</v>
      </c>
      <c r="C456" t="s">
        <v>2341</v>
      </c>
      <c r="D456" t="s">
        <v>2275</v>
      </c>
      <c r="E456">
        <v>0</v>
      </c>
      <c r="F456" t="s">
        <v>1584</v>
      </c>
      <c r="G456" t="s">
        <v>1585</v>
      </c>
      <c r="H456" t="s">
        <v>1579</v>
      </c>
    </row>
    <row r="457" spans="1:8" x14ac:dyDescent="0.25">
      <c r="A457" t="s">
        <v>1990</v>
      </c>
      <c r="B457" t="str">
        <f>VLOOKUP(D457,pgc_pyme!J:M,4,FALSE)</f>
        <v>Devoluciones de compras y operaciones similares</v>
      </c>
      <c r="C457" t="s">
        <v>2342</v>
      </c>
      <c r="D457" t="s">
        <v>2275</v>
      </c>
      <c r="E457">
        <v>0</v>
      </c>
      <c r="F457" t="s">
        <v>1584</v>
      </c>
      <c r="G457" t="s">
        <v>1585</v>
      </c>
      <c r="H457" t="s">
        <v>1579</v>
      </c>
    </row>
    <row r="458" spans="1:8" x14ac:dyDescent="0.25">
      <c r="A458" t="s">
        <v>1991</v>
      </c>
      <c r="B458" t="str">
        <f>VLOOKUP(D458,pgc_pyme!J:M,4,FALSE)</f>
        <v>Devoluciones de compras y operaciones similares</v>
      </c>
      <c r="C458" t="s">
        <v>2343</v>
      </c>
      <c r="D458" t="s">
        <v>2275</v>
      </c>
      <c r="E458">
        <v>0</v>
      </c>
      <c r="F458" t="s">
        <v>1584</v>
      </c>
      <c r="G458" t="s">
        <v>1585</v>
      </c>
      <c r="H458" t="s">
        <v>1579</v>
      </c>
    </row>
    <row r="459" spans="1:8" x14ac:dyDescent="0.25">
      <c r="A459" t="s">
        <v>1992</v>
      </c>
      <c r="B459" t="str">
        <f>VLOOKUP(D459,pgc_pyme!J:M,4,FALSE)</f>
        <v>Compras</v>
      </c>
      <c r="C459" t="s">
        <v>2276</v>
      </c>
      <c r="D459" t="s">
        <v>2273</v>
      </c>
      <c r="E459">
        <v>1</v>
      </c>
      <c r="F459" t="s">
        <v>1584</v>
      </c>
      <c r="G459" t="s">
        <v>1585</v>
      </c>
      <c r="H459" t="s">
        <v>1579</v>
      </c>
    </row>
    <row r="460" spans="1:8" x14ac:dyDescent="0.25">
      <c r="A460" t="s">
        <v>1993</v>
      </c>
      <c r="B460" t="str">
        <f>VLOOKUP(D460,pgc_pyme!J:M,4,FALSE)</f>
        <v>“Rappels” por compras</v>
      </c>
      <c r="C460" t="s">
        <v>2344</v>
      </c>
      <c r="D460" t="s">
        <v>2276</v>
      </c>
      <c r="E460">
        <v>0</v>
      </c>
      <c r="F460" t="s">
        <v>1584</v>
      </c>
      <c r="G460" t="s">
        <v>1585</v>
      </c>
      <c r="H460" t="s">
        <v>1579</v>
      </c>
    </row>
    <row r="461" spans="1:8" x14ac:dyDescent="0.25">
      <c r="A461" t="s">
        <v>1994</v>
      </c>
      <c r="B461" t="str">
        <f>VLOOKUP(D461,pgc_pyme!J:M,4,FALSE)</f>
        <v>“Rappels” por compras</v>
      </c>
      <c r="C461" t="s">
        <v>2345</v>
      </c>
      <c r="D461" t="s">
        <v>2276</v>
      </c>
      <c r="E461">
        <v>0</v>
      </c>
      <c r="F461" t="s">
        <v>1584</v>
      </c>
      <c r="G461" t="s">
        <v>1585</v>
      </c>
      <c r="H461" t="s">
        <v>1579</v>
      </c>
    </row>
    <row r="462" spans="1:8" x14ac:dyDescent="0.25">
      <c r="A462" t="s">
        <v>1995</v>
      </c>
      <c r="B462" t="str">
        <f>VLOOKUP(D462,pgc_pyme!J:M,4,FALSE)</f>
        <v>“Rappels” por compras</v>
      </c>
      <c r="C462" t="s">
        <v>2346</v>
      </c>
      <c r="D462" t="s">
        <v>2276</v>
      </c>
      <c r="E462">
        <v>0</v>
      </c>
      <c r="F462" t="s">
        <v>1584</v>
      </c>
      <c r="G462" t="s">
        <v>1585</v>
      </c>
      <c r="H462" t="s">
        <v>1579</v>
      </c>
    </row>
    <row r="463" spans="1:8" x14ac:dyDescent="0.25">
      <c r="A463" t="s">
        <v>3066</v>
      </c>
      <c r="B463" t="str">
        <f>VLOOKUP(D463,pgc_pyme!J:M,4,FALSE)</f>
        <v>GASTOS</v>
      </c>
      <c r="C463" t="s">
        <v>2277</v>
      </c>
      <c r="D463" t="s">
        <v>2268</v>
      </c>
      <c r="E463">
        <v>1</v>
      </c>
      <c r="F463" t="s">
        <v>1584</v>
      </c>
      <c r="G463" t="s">
        <v>1585</v>
      </c>
      <c r="H463" t="s">
        <v>1579</v>
      </c>
    </row>
    <row r="464" spans="1:8" x14ac:dyDescent="0.25">
      <c r="A464" t="s">
        <v>1996</v>
      </c>
      <c r="B464" t="str">
        <f>VLOOKUP(D464,pgc_pyme!J:M,4,FALSE)</f>
        <v>Variación de Existencias</v>
      </c>
      <c r="C464" t="s">
        <v>2347</v>
      </c>
      <c r="D464" t="s">
        <v>2277</v>
      </c>
      <c r="E464">
        <v>0</v>
      </c>
      <c r="F464" t="s">
        <v>1584</v>
      </c>
      <c r="G464" t="s">
        <v>1585</v>
      </c>
      <c r="H464" t="s">
        <v>1579</v>
      </c>
    </row>
    <row r="465" spans="1:8" x14ac:dyDescent="0.25">
      <c r="A465" t="s">
        <v>1997</v>
      </c>
      <c r="B465" t="str">
        <f>VLOOKUP(D465,pgc_pyme!J:M,4,FALSE)</f>
        <v>Variación de Existencias</v>
      </c>
      <c r="C465" t="s">
        <v>2348</v>
      </c>
      <c r="D465" t="s">
        <v>2277</v>
      </c>
      <c r="E465">
        <v>0</v>
      </c>
      <c r="F465" t="s">
        <v>1584</v>
      </c>
      <c r="G465" t="s">
        <v>1585</v>
      </c>
      <c r="H465" t="s">
        <v>1579</v>
      </c>
    </row>
    <row r="466" spans="1:8" x14ac:dyDescent="0.25">
      <c r="A466" t="s">
        <v>1998</v>
      </c>
      <c r="B466" t="str">
        <f>VLOOKUP(D466,pgc_pyme!J:M,4,FALSE)</f>
        <v>Variación de Existencias</v>
      </c>
      <c r="C466" t="s">
        <v>2349</v>
      </c>
      <c r="D466" t="s">
        <v>2277</v>
      </c>
      <c r="E466">
        <v>0</v>
      </c>
      <c r="F466" t="s">
        <v>1584</v>
      </c>
      <c r="G466" t="s">
        <v>1585</v>
      </c>
      <c r="H466" t="s">
        <v>1579</v>
      </c>
    </row>
    <row r="467" spans="1:8" x14ac:dyDescent="0.25">
      <c r="A467" t="s">
        <v>3082</v>
      </c>
      <c r="B467" t="str">
        <f>VLOOKUP(D467,pgc_pyme!J:M,4,FALSE)</f>
        <v>GASTOS</v>
      </c>
      <c r="C467" t="s">
        <v>2278</v>
      </c>
      <c r="D467" t="s">
        <v>2268</v>
      </c>
      <c r="E467">
        <v>1</v>
      </c>
      <c r="F467" t="s">
        <v>1584</v>
      </c>
      <c r="G467" t="s">
        <v>1585</v>
      </c>
      <c r="H467" t="s">
        <v>1579</v>
      </c>
    </row>
    <row r="468" spans="1:8" x14ac:dyDescent="0.25">
      <c r="A468" t="s">
        <v>1999</v>
      </c>
      <c r="B468" t="str">
        <f>VLOOKUP(D468,pgc_pyme!J:M,4,FALSE)</f>
        <v>Servicios Exteriores</v>
      </c>
      <c r="C468" t="s">
        <v>2350</v>
      </c>
      <c r="D468" t="s">
        <v>2278</v>
      </c>
      <c r="E468">
        <v>0</v>
      </c>
      <c r="F468" t="s">
        <v>1584</v>
      </c>
      <c r="G468" t="s">
        <v>1585</v>
      </c>
      <c r="H468" t="s">
        <v>1579</v>
      </c>
    </row>
    <row r="469" spans="1:8" x14ac:dyDescent="0.25">
      <c r="A469" t="s">
        <v>2000</v>
      </c>
      <c r="B469" t="str">
        <f>VLOOKUP(D469,pgc_pyme!J:M,4,FALSE)</f>
        <v>Servicios Exteriores</v>
      </c>
      <c r="C469" t="s">
        <v>2351</v>
      </c>
      <c r="D469" t="s">
        <v>2278</v>
      </c>
      <c r="E469">
        <v>0</v>
      </c>
      <c r="F469" t="s">
        <v>1584</v>
      </c>
      <c r="G469" t="s">
        <v>1585</v>
      </c>
      <c r="H469" t="s">
        <v>1579</v>
      </c>
    </row>
    <row r="470" spans="1:8" x14ac:dyDescent="0.25">
      <c r="A470" t="s">
        <v>2001</v>
      </c>
      <c r="B470" t="str">
        <f>VLOOKUP(D470,pgc_pyme!J:M,4,FALSE)</f>
        <v>Servicios Exteriores</v>
      </c>
      <c r="C470" t="s">
        <v>2352</v>
      </c>
      <c r="D470" t="s">
        <v>2278</v>
      </c>
      <c r="E470">
        <v>0</v>
      </c>
      <c r="F470" t="s">
        <v>1584</v>
      </c>
      <c r="G470" t="s">
        <v>1585</v>
      </c>
      <c r="H470" t="s">
        <v>1579</v>
      </c>
    </row>
    <row r="471" spans="1:8" x14ac:dyDescent="0.25">
      <c r="A471" t="s">
        <v>2002</v>
      </c>
      <c r="B471" t="str">
        <f>VLOOKUP(D471,pgc_pyme!J:M,4,FALSE)</f>
        <v>Servicios Exteriores</v>
      </c>
      <c r="C471" t="s">
        <v>2353</v>
      </c>
      <c r="D471" t="s">
        <v>2278</v>
      </c>
      <c r="E471">
        <v>0</v>
      </c>
      <c r="F471" t="s">
        <v>1584</v>
      </c>
      <c r="G471" t="s">
        <v>1585</v>
      </c>
      <c r="H471" t="s">
        <v>1579</v>
      </c>
    </row>
    <row r="472" spans="1:8" x14ac:dyDescent="0.25">
      <c r="A472" t="s">
        <v>2003</v>
      </c>
      <c r="B472" t="str">
        <f>VLOOKUP(D472,pgc_pyme!J:M,4,FALSE)</f>
        <v>Servicios Exteriores</v>
      </c>
      <c r="C472" t="s">
        <v>2354</v>
      </c>
      <c r="D472" t="s">
        <v>2278</v>
      </c>
      <c r="E472">
        <v>0</v>
      </c>
      <c r="F472" t="s">
        <v>1584</v>
      </c>
      <c r="G472" t="s">
        <v>1585</v>
      </c>
      <c r="H472" t="s">
        <v>1579</v>
      </c>
    </row>
    <row r="473" spans="1:8" x14ac:dyDescent="0.25">
      <c r="A473" t="s">
        <v>2004</v>
      </c>
      <c r="B473" t="str">
        <f>VLOOKUP(D473,pgc_pyme!J:M,4,FALSE)</f>
        <v>Servicios Exteriores</v>
      </c>
      <c r="C473" t="s">
        <v>2355</v>
      </c>
      <c r="D473" t="s">
        <v>2278</v>
      </c>
      <c r="E473">
        <v>0</v>
      </c>
      <c r="F473" t="s">
        <v>1584</v>
      </c>
      <c r="G473" t="s">
        <v>1585</v>
      </c>
      <c r="H473" t="s">
        <v>1579</v>
      </c>
    </row>
    <row r="474" spans="1:8" x14ac:dyDescent="0.25">
      <c r="A474" t="s">
        <v>2005</v>
      </c>
      <c r="B474" t="str">
        <f>VLOOKUP(D474,pgc_pyme!J:M,4,FALSE)</f>
        <v>Servicios Exteriores</v>
      </c>
      <c r="C474" t="s">
        <v>2356</v>
      </c>
      <c r="D474" t="s">
        <v>2278</v>
      </c>
      <c r="E474">
        <v>0</v>
      </c>
      <c r="F474" t="s">
        <v>1584</v>
      </c>
      <c r="G474" t="s">
        <v>1585</v>
      </c>
      <c r="H474" t="s">
        <v>1579</v>
      </c>
    </row>
    <row r="475" spans="1:8" x14ac:dyDescent="0.25">
      <c r="A475" t="s">
        <v>2006</v>
      </c>
      <c r="B475" t="str">
        <f>VLOOKUP(D475,pgc_pyme!J:M,4,FALSE)</f>
        <v>Servicios Exteriores</v>
      </c>
      <c r="C475" t="s">
        <v>2357</v>
      </c>
      <c r="D475" t="s">
        <v>2278</v>
      </c>
      <c r="E475">
        <v>0</v>
      </c>
      <c r="F475" t="s">
        <v>1584</v>
      </c>
      <c r="G475" t="s">
        <v>1585</v>
      </c>
      <c r="H475" t="s">
        <v>1579</v>
      </c>
    </row>
    <row r="476" spans="1:8" x14ac:dyDescent="0.25">
      <c r="A476" t="s">
        <v>2007</v>
      </c>
      <c r="B476" t="str">
        <f>VLOOKUP(D476,pgc_pyme!J:M,4,FALSE)</f>
        <v>Servicios Exteriores</v>
      </c>
      <c r="C476" t="s">
        <v>2358</v>
      </c>
      <c r="D476" t="s">
        <v>2278</v>
      </c>
      <c r="E476">
        <v>0</v>
      </c>
      <c r="F476" t="s">
        <v>1584</v>
      </c>
      <c r="G476" t="s">
        <v>1585</v>
      </c>
      <c r="H476" t="s">
        <v>1579</v>
      </c>
    </row>
    <row r="477" spans="1:8" x14ac:dyDescent="0.25">
      <c r="A477" t="s">
        <v>2008</v>
      </c>
      <c r="B477" t="str">
        <f>VLOOKUP(D477,pgc_pyme!J:M,4,FALSE)</f>
        <v>Servicios Exteriores</v>
      </c>
      <c r="C477" t="s">
        <v>2359</v>
      </c>
      <c r="D477" t="s">
        <v>2278</v>
      </c>
      <c r="E477">
        <v>0</v>
      </c>
      <c r="F477" t="s">
        <v>1584</v>
      </c>
      <c r="G477" t="s">
        <v>1585</v>
      </c>
      <c r="H477" t="s">
        <v>1579</v>
      </c>
    </row>
    <row r="478" spans="1:8" x14ac:dyDescent="0.25">
      <c r="A478" t="s">
        <v>3083</v>
      </c>
      <c r="B478" t="str">
        <f>VLOOKUP(D478,pgc_pyme!J:M,4,FALSE)</f>
        <v>GASTOS</v>
      </c>
      <c r="C478" t="s">
        <v>2279</v>
      </c>
      <c r="D478" t="s">
        <v>2268</v>
      </c>
      <c r="E478">
        <v>1</v>
      </c>
      <c r="F478" t="s">
        <v>1584</v>
      </c>
      <c r="G478" t="s">
        <v>1585</v>
      </c>
      <c r="H478" t="s">
        <v>1579</v>
      </c>
    </row>
    <row r="479" spans="1:8" x14ac:dyDescent="0.25">
      <c r="A479" t="s">
        <v>2009</v>
      </c>
      <c r="B479" t="str">
        <f>VLOOKUP(D479,pgc_pyme!J:M,4,FALSE)</f>
        <v>Tributos</v>
      </c>
      <c r="C479" t="s">
        <v>2280</v>
      </c>
      <c r="D479" t="s">
        <v>2279</v>
      </c>
      <c r="E479">
        <v>1</v>
      </c>
      <c r="F479" t="s">
        <v>1584</v>
      </c>
      <c r="G479" t="s">
        <v>1585</v>
      </c>
      <c r="H479" t="s">
        <v>1579</v>
      </c>
    </row>
    <row r="480" spans="1:8" x14ac:dyDescent="0.25">
      <c r="A480" t="s">
        <v>2010</v>
      </c>
      <c r="B480" t="str">
        <f>VLOOKUP(D480,pgc_pyme!J:M,4,FALSE)</f>
        <v>Impuesto sobre beneficios</v>
      </c>
      <c r="C480" t="s">
        <v>2360</v>
      </c>
      <c r="D480" t="s">
        <v>2280</v>
      </c>
      <c r="E480">
        <v>0</v>
      </c>
      <c r="F480" t="s">
        <v>1584</v>
      </c>
      <c r="G480" t="s">
        <v>1585</v>
      </c>
      <c r="H480" t="s">
        <v>1579</v>
      </c>
    </row>
    <row r="481" spans="1:8" x14ac:dyDescent="0.25">
      <c r="A481" t="s">
        <v>2011</v>
      </c>
      <c r="B481" t="str">
        <f>VLOOKUP(D481,pgc_pyme!J:M,4,FALSE)</f>
        <v>Impuesto sobre beneficios</v>
      </c>
      <c r="C481" t="s">
        <v>2361</v>
      </c>
      <c r="D481" t="s">
        <v>2280</v>
      </c>
      <c r="E481">
        <v>0</v>
      </c>
      <c r="F481" t="s">
        <v>1584</v>
      </c>
      <c r="G481" t="s">
        <v>1585</v>
      </c>
      <c r="H481" t="s">
        <v>1579</v>
      </c>
    </row>
    <row r="482" spans="1:8" x14ac:dyDescent="0.25">
      <c r="A482" t="s">
        <v>2012</v>
      </c>
      <c r="B482" t="str">
        <f>VLOOKUP(D482,pgc_pyme!J:M,4,FALSE)</f>
        <v>Tributos</v>
      </c>
      <c r="C482" t="s">
        <v>2362</v>
      </c>
      <c r="D482" t="s">
        <v>2279</v>
      </c>
      <c r="E482">
        <v>0</v>
      </c>
      <c r="F482" t="s">
        <v>1584</v>
      </c>
      <c r="G482" t="s">
        <v>1585</v>
      </c>
      <c r="H482" t="s">
        <v>1579</v>
      </c>
    </row>
    <row r="483" spans="1:8" x14ac:dyDescent="0.25">
      <c r="A483" t="s">
        <v>2013</v>
      </c>
      <c r="B483" t="str">
        <f>VLOOKUP(D483,pgc_pyme!J:M,4,FALSE)</f>
        <v>Tributos</v>
      </c>
      <c r="C483" t="s">
        <v>2363</v>
      </c>
      <c r="D483" t="s">
        <v>2279</v>
      </c>
      <c r="E483">
        <v>0</v>
      </c>
      <c r="F483" t="s">
        <v>1584</v>
      </c>
      <c r="G483" t="s">
        <v>1585</v>
      </c>
      <c r="H483" t="s">
        <v>1579</v>
      </c>
    </row>
    <row r="484" spans="1:8" x14ac:dyDescent="0.25">
      <c r="A484" t="s">
        <v>2014</v>
      </c>
      <c r="B484" t="str">
        <f>VLOOKUP(D484,pgc_pyme!J:M,4,FALSE)</f>
        <v>Tributos</v>
      </c>
      <c r="C484" t="s">
        <v>2281</v>
      </c>
      <c r="D484" t="s">
        <v>2279</v>
      </c>
      <c r="E484">
        <v>1</v>
      </c>
      <c r="F484" t="s">
        <v>1584</v>
      </c>
      <c r="G484" t="s">
        <v>1585</v>
      </c>
      <c r="H484" t="s">
        <v>1579</v>
      </c>
    </row>
    <row r="485" spans="1:8" x14ac:dyDescent="0.25">
      <c r="A485" t="s">
        <v>2015</v>
      </c>
      <c r="B485" t="str">
        <f>VLOOKUP(D485,pgc_pyme!J:M,4,FALSE)</f>
        <v>Ajustes negativos en la imposición indirecta</v>
      </c>
      <c r="C485" t="s">
        <v>2364</v>
      </c>
      <c r="D485" t="s">
        <v>2281</v>
      </c>
      <c r="E485">
        <v>0</v>
      </c>
      <c r="F485" t="s">
        <v>1584</v>
      </c>
      <c r="G485" t="s">
        <v>1585</v>
      </c>
      <c r="H485" t="s">
        <v>1579</v>
      </c>
    </row>
    <row r="486" spans="1:8" x14ac:dyDescent="0.25">
      <c r="A486" t="s">
        <v>2016</v>
      </c>
      <c r="B486" t="str">
        <f>VLOOKUP(D486,pgc_pyme!J:M,4,FALSE)</f>
        <v>Ajustes negativos en la imposición indirecta</v>
      </c>
      <c r="C486" t="s">
        <v>2365</v>
      </c>
      <c r="D486" t="s">
        <v>2281</v>
      </c>
      <c r="E486">
        <v>0</v>
      </c>
      <c r="F486" t="s">
        <v>1584</v>
      </c>
      <c r="G486" t="s">
        <v>1585</v>
      </c>
      <c r="H486" t="s">
        <v>1579</v>
      </c>
    </row>
    <row r="487" spans="1:8" x14ac:dyDescent="0.25">
      <c r="A487" t="s">
        <v>2017</v>
      </c>
      <c r="B487" t="str">
        <f>VLOOKUP(D487,pgc_pyme!J:M,4,FALSE)</f>
        <v>Tributos</v>
      </c>
      <c r="C487" t="s">
        <v>2366</v>
      </c>
      <c r="D487" t="s">
        <v>2279</v>
      </c>
      <c r="E487">
        <v>0</v>
      </c>
      <c r="F487" t="s">
        <v>1584</v>
      </c>
      <c r="G487" t="s">
        <v>1585</v>
      </c>
      <c r="H487" t="s">
        <v>1579</v>
      </c>
    </row>
    <row r="488" spans="1:8" x14ac:dyDescent="0.25">
      <c r="A488" t="s">
        <v>2018</v>
      </c>
      <c r="B488" t="str">
        <f>VLOOKUP(D488,pgc_pyme!J:M,4,FALSE)</f>
        <v>Tributos</v>
      </c>
      <c r="C488" t="s">
        <v>2367</v>
      </c>
      <c r="D488" t="s">
        <v>2279</v>
      </c>
      <c r="E488">
        <v>0</v>
      </c>
      <c r="F488" t="s">
        <v>1584</v>
      </c>
      <c r="G488" t="s">
        <v>1585</v>
      </c>
      <c r="H488" t="s">
        <v>1579</v>
      </c>
    </row>
    <row r="489" spans="1:8" x14ac:dyDescent="0.25">
      <c r="A489" t="s">
        <v>2019</v>
      </c>
      <c r="B489" t="str">
        <f>VLOOKUP(D489,pgc_pyme!J:M,4,FALSE)</f>
        <v>Tributos</v>
      </c>
      <c r="C489" t="s">
        <v>2282</v>
      </c>
      <c r="D489" t="s">
        <v>2279</v>
      </c>
      <c r="E489">
        <v>1</v>
      </c>
      <c r="F489" t="s">
        <v>1584</v>
      </c>
      <c r="G489" t="s">
        <v>1585</v>
      </c>
      <c r="H489" t="s">
        <v>1579</v>
      </c>
    </row>
    <row r="490" spans="1:8" x14ac:dyDescent="0.25">
      <c r="A490" t="s">
        <v>2020</v>
      </c>
      <c r="B490" t="str">
        <f>VLOOKUP(D490,pgc_pyme!J:M,4,FALSE)</f>
        <v>Ajustes positivos en la imposición indirecta</v>
      </c>
      <c r="C490" t="s">
        <v>2368</v>
      </c>
      <c r="D490" t="s">
        <v>2282</v>
      </c>
      <c r="E490">
        <v>0</v>
      </c>
      <c r="F490" t="s">
        <v>1584</v>
      </c>
      <c r="G490" t="s">
        <v>1585</v>
      </c>
      <c r="H490" t="s">
        <v>1579</v>
      </c>
    </row>
    <row r="491" spans="1:8" x14ac:dyDescent="0.25">
      <c r="A491" t="s">
        <v>2021</v>
      </c>
      <c r="B491" t="str">
        <f>VLOOKUP(D491,pgc_pyme!J:M,4,FALSE)</f>
        <v>Ajustes positivos en la imposición indirecta</v>
      </c>
      <c r="C491" t="s">
        <v>2369</v>
      </c>
      <c r="D491" t="s">
        <v>2282</v>
      </c>
      <c r="E491">
        <v>0</v>
      </c>
      <c r="F491" t="s">
        <v>1584</v>
      </c>
      <c r="G491" t="s">
        <v>1585</v>
      </c>
      <c r="H491" t="s">
        <v>1579</v>
      </c>
    </row>
    <row r="492" spans="1:8" x14ac:dyDescent="0.25">
      <c r="A492" t="s">
        <v>3084</v>
      </c>
      <c r="B492" t="str">
        <f>VLOOKUP(D492,pgc_pyme!J:M,4,FALSE)</f>
        <v>GASTOS</v>
      </c>
      <c r="C492" t="s">
        <v>2283</v>
      </c>
      <c r="D492" t="s">
        <v>2268</v>
      </c>
      <c r="E492">
        <v>1</v>
      </c>
      <c r="F492" t="s">
        <v>1584</v>
      </c>
      <c r="G492" t="s">
        <v>1585</v>
      </c>
      <c r="H492" t="s">
        <v>1579</v>
      </c>
    </row>
    <row r="493" spans="1:8" x14ac:dyDescent="0.25">
      <c r="A493" t="s">
        <v>2022</v>
      </c>
      <c r="B493" t="str">
        <f>VLOOKUP(D493,pgc_pyme!J:M,4,FALSE)</f>
        <v>Gastos de Personal</v>
      </c>
      <c r="C493" t="s">
        <v>2370</v>
      </c>
      <c r="D493" t="s">
        <v>2283</v>
      </c>
      <c r="E493">
        <v>0</v>
      </c>
      <c r="F493" t="s">
        <v>1584</v>
      </c>
      <c r="G493" t="s">
        <v>1585</v>
      </c>
      <c r="H493" t="s">
        <v>1579</v>
      </c>
    </row>
    <row r="494" spans="1:8" x14ac:dyDescent="0.25">
      <c r="A494" t="s">
        <v>2023</v>
      </c>
      <c r="B494" t="str">
        <f>VLOOKUP(D494,pgc_pyme!J:M,4,FALSE)</f>
        <v>Gastos de Personal</v>
      </c>
      <c r="C494" t="s">
        <v>2371</v>
      </c>
      <c r="D494" t="s">
        <v>2283</v>
      </c>
      <c r="E494">
        <v>0</v>
      </c>
      <c r="F494" t="s">
        <v>1584</v>
      </c>
      <c r="G494" t="s">
        <v>1585</v>
      </c>
      <c r="H494" t="s">
        <v>1579</v>
      </c>
    </row>
    <row r="495" spans="1:8" x14ac:dyDescent="0.25">
      <c r="A495" t="s">
        <v>2024</v>
      </c>
      <c r="B495" t="str">
        <f>VLOOKUP(D495,pgc_pyme!J:M,4,FALSE)</f>
        <v>Gastos de Personal</v>
      </c>
      <c r="C495" t="s">
        <v>2372</v>
      </c>
      <c r="D495" t="s">
        <v>2283</v>
      </c>
      <c r="E495">
        <v>0</v>
      </c>
      <c r="F495" t="s">
        <v>1584</v>
      </c>
      <c r="G495" t="s">
        <v>1585</v>
      </c>
      <c r="H495" t="s">
        <v>1579</v>
      </c>
    </row>
    <row r="496" spans="1:8" x14ac:dyDescent="0.25">
      <c r="A496" t="s">
        <v>2025</v>
      </c>
      <c r="B496" t="str">
        <f>VLOOKUP(D496,pgc_pyme!J:M,4,FALSE)</f>
        <v>Gastos de Personal</v>
      </c>
      <c r="C496" t="s">
        <v>2373</v>
      </c>
      <c r="D496" t="s">
        <v>2283</v>
      </c>
      <c r="E496">
        <v>0</v>
      </c>
      <c r="F496" t="s">
        <v>1584</v>
      </c>
      <c r="G496" t="s">
        <v>1585</v>
      </c>
      <c r="H496" t="s">
        <v>1579</v>
      </c>
    </row>
    <row r="497" spans="1:8" x14ac:dyDescent="0.25">
      <c r="A497" t="s">
        <v>3062</v>
      </c>
      <c r="B497" t="str">
        <f>VLOOKUP(D497,pgc_pyme!J:M,4,FALSE)</f>
        <v>GASTOS</v>
      </c>
      <c r="C497" t="s">
        <v>2284</v>
      </c>
      <c r="D497" t="s">
        <v>2268</v>
      </c>
      <c r="E497">
        <v>1</v>
      </c>
      <c r="F497" t="s">
        <v>1584</v>
      </c>
      <c r="G497" t="s">
        <v>1585</v>
      </c>
      <c r="H497" t="s">
        <v>1579</v>
      </c>
    </row>
    <row r="498" spans="1:8" x14ac:dyDescent="0.25">
      <c r="A498" t="s">
        <v>2026</v>
      </c>
      <c r="B498" t="str">
        <f>VLOOKUP(D498,pgc_pyme!J:M,4,FALSE)</f>
        <v>Otros Gastos de Gestión</v>
      </c>
      <c r="C498" t="s">
        <v>2374</v>
      </c>
      <c r="D498" t="s">
        <v>2284</v>
      </c>
      <c r="E498">
        <v>0</v>
      </c>
      <c r="F498" t="s">
        <v>1584</v>
      </c>
      <c r="G498" t="s">
        <v>1585</v>
      </c>
      <c r="H498" t="s">
        <v>1579</v>
      </c>
    </row>
    <row r="499" spans="1:8" x14ac:dyDescent="0.25">
      <c r="A499" t="s">
        <v>2027</v>
      </c>
      <c r="B499" t="str">
        <f>VLOOKUP(D499,pgc_pyme!J:M,4,FALSE)</f>
        <v>Otros Gastos de Gestión</v>
      </c>
      <c r="C499" t="s">
        <v>2285</v>
      </c>
      <c r="D499" t="s">
        <v>2284</v>
      </c>
      <c r="E499">
        <v>1</v>
      </c>
      <c r="F499" t="s">
        <v>1584</v>
      </c>
      <c r="G499" t="s">
        <v>1585</v>
      </c>
      <c r="H499" t="s">
        <v>1579</v>
      </c>
    </row>
    <row r="500" spans="1:8" x14ac:dyDescent="0.25">
      <c r="A500" t="s">
        <v>2028</v>
      </c>
      <c r="B500" t="str">
        <f>VLOOKUP(D500,pgc_pyme!J:M,4,FALSE)</f>
        <v>Resultados de operaciones en común</v>
      </c>
      <c r="C500" t="s">
        <v>2375</v>
      </c>
      <c r="D500" t="s">
        <v>2285</v>
      </c>
      <c r="E500">
        <v>0</v>
      </c>
      <c r="F500" t="s">
        <v>1584</v>
      </c>
      <c r="G500" t="s">
        <v>1585</v>
      </c>
      <c r="H500" t="s">
        <v>1579</v>
      </c>
    </row>
    <row r="501" spans="1:8" x14ac:dyDescent="0.25">
      <c r="A501" t="s">
        <v>2029</v>
      </c>
      <c r="B501" t="str">
        <f>VLOOKUP(D501,pgc_pyme!J:M,4,FALSE)</f>
        <v>Resultados de operaciones en común</v>
      </c>
      <c r="C501" t="s">
        <v>2376</v>
      </c>
      <c r="D501" t="s">
        <v>2285</v>
      </c>
      <c r="E501">
        <v>0</v>
      </c>
      <c r="F501" t="s">
        <v>1584</v>
      </c>
      <c r="G501" t="s">
        <v>1585</v>
      </c>
      <c r="H501" t="s">
        <v>1579</v>
      </c>
    </row>
    <row r="502" spans="1:8" x14ac:dyDescent="0.25">
      <c r="A502" t="s">
        <v>2030</v>
      </c>
      <c r="B502" t="str">
        <f>VLOOKUP(D502,pgc_pyme!J:M,4,FALSE)</f>
        <v>Otros Gastos de Gestión</v>
      </c>
      <c r="C502" t="s">
        <v>2377</v>
      </c>
      <c r="D502" t="s">
        <v>2284</v>
      </c>
      <c r="E502">
        <v>0</v>
      </c>
      <c r="F502" t="s">
        <v>1584</v>
      </c>
      <c r="G502" t="s">
        <v>1585</v>
      </c>
      <c r="H502" t="s">
        <v>1579</v>
      </c>
    </row>
    <row r="503" spans="1:8" x14ac:dyDescent="0.25">
      <c r="A503" t="s">
        <v>3085</v>
      </c>
      <c r="B503" t="str">
        <f>VLOOKUP(D503,pgc_pyme!J:M,4,FALSE)</f>
        <v>GASTOS</v>
      </c>
      <c r="C503" t="s">
        <v>2286</v>
      </c>
      <c r="D503" t="s">
        <v>2268</v>
      </c>
      <c r="E503">
        <v>1</v>
      </c>
      <c r="F503" t="s">
        <v>1584</v>
      </c>
      <c r="G503" t="s">
        <v>1585</v>
      </c>
      <c r="H503" t="s">
        <v>1579</v>
      </c>
    </row>
    <row r="504" spans="1:8" x14ac:dyDescent="0.25">
      <c r="A504" t="s">
        <v>2031</v>
      </c>
      <c r="B504" t="str">
        <f>VLOOKUP(D504,pgc_pyme!J:M,4,FALSE)</f>
        <v>Gastos Financieros</v>
      </c>
      <c r="C504" t="s">
        <v>2378</v>
      </c>
      <c r="D504" t="s">
        <v>2286</v>
      </c>
      <c r="E504">
        <v>0</v>
      </c>
      <c r="F504" t="s">
        <v>1584</v>
      </c>
      <c r="G504" t="s">
        <v>1585</v>
      </c>
      <c r="H504" t="s">
        <v>1579</v>
      </c>
    </row>
    <row r="505" spans="1:8" x14ac:dyDescent="0.25">
      <c r="A505" t="s">
        <v>2032</v>
      </c>
      <c r="B505" t="str">
        <f>VLOOKUP(D505,pgc_pyme!J:M,4,FALSE)</f>
        <v>Gastos Financieros</v>
      </c>
      <c r="C505" t="s">
        <v>2287</v>
      </c>
      <c r="D505" t="s">
        <v>2286</v>
      </c>
      <c r="E505">
        <v>1</v>
      </c>
      <c r="F505" t="s">
        <v>1584</v>
      </c>
      <c r="G505" t="s">
        <v>1585</v>
      </c>
      <c r="H505" t="s">
        <v>1579</v>
      </c>
    </row>
    <row r="506" spans="1:8" x14ac:dyDescent="0.25">
      <c r="A506" t="s">
        <v>2033</v>
      </c>
      <c r="B506" t="str">
        <f>VLOOKUP(D506,pgc_pyme!J:M,4,FALSE)</f>
        <v>Intereses de obligaciones y bonos</v>
      </c>
      <c r="C506" t="s">
        <v>2379</v>
      </c>
      <c r="D506" t="s">
        <v>2287</v>
      </c>
      <c r="E506">
        <v>0</v>
      </c>
      <c r="F506" t="s">
        <v>1584</v>
      </c>
      <c r="G506" t="s">
        <v>1585</v>
      </c>
      <c r="H506" t="s">
        <v>1579</v>
      </c>
    </row>
    <row r="507" spans="1:8" x14ac:dyDescent="0.25">
      <c r="A507" t="s">
        <v>2034</v>
      </c>
      <c r="B507" t="str">
        <f>VLOOKUP(D507,pgc_pyme!J:M,4,FALSE)</f>
        <v>Intereses de obligaciones y bonos</v>
      </c>
      <c r="C507" t="s">
        <v>2380</v>
      </c>
      <c r="D507" t="s">
        <v>2287</v>
      </c>
      <c r="E507">
        <v>0</v>
      </c>
      <c r="F507" t="s">
        <v>1584</v>
      </c>
      <c r="G507" t="s">
        <v>1585</v>
      </c>
      <c r="H507" t="s">
        <v>1579</v>
      </c>
    </row>
    <row r="508" spans="1:8" x14ac:dyDescent="0.25">
      <c r="A508" t="s">
        <v>2035</v>
      </c>
      <c r="B508" t="str">
        <f>VLOOKUP(D508,pgc_pyme!J:M,4,FALSE)</f>
        <v>Intereses de obligaciones y bonos</v>
      </c>
      <c r="C508" t="s">
        <v>2381</v>
      </c>
      <c r="D508" t="s">
        <v>2287</v>
      </c>
      <c r="E508">
        <v>0</v>
      </c>
      <c r="F508" t="s">
        <v>1584</v>
      </c>
      <c r="G508" t="s">
        <v>1585</v>
      </c>
      <c r="H508" t="s">
        <v>1579</v>
      </c>
    </row>
    <row r="509" spans="1:8" x14ac:dyDescent="0.25">
      <c r="A509" t="s">
        <v>2036</v>
      </c>
      <c r="B509" t="str">
        <f>VLOOKUP(D509,pgc_pyme!J:M,4,FALSE)</f>
        <v>Intereses de obligaciones y bonos</v>
      </c>
      <c r="C509" t="s">
        <v>2382</v>
      </c>
      <c r="D509" t="s">
        <v>2287</v>
      </c>
      <c r="E509">
        <v>0</v>
      </c>
      <c r="F509" t="s">
        <v>1584</v>
      </c>
      <c r="G509" t="s">
        <v>1585</v>
      </c>
      <c r="H509" t="s">
        <v>1579</v>
      </c>
    </row>
    <row r="510" spans="1:8" x14ac:dyDescent="0.25">
      <c r="A510" t="s">
        <v>2037</v>
      </c>
      <c r="B510" t="str">
        <f>VLOOKUP(D510,pgc_pyme!J:M,4,FALSE)</f>
        <v>Intereses de obligaciones y bonos</v>
      </c>
      <c r="C510" t="s">
        <v>2383</v>
      </c>
      <c r="D510" t="s">
        <v>2287</v>
      </c>
      <c r="E510">
        <v>0</v>
      </c>
      <c r="F510" t="s">
        <v>1584</v>
      </c>
      <c r="G510" t="s">
        <v>1585</v>
      </c>
      <c r="H510" t="s">
        <v>1579</v>
      </c>
    </row>
    <row r="511" spans="1:8" x14ac:dyDescent="0.25">
      <c r="A511" t="s">
        <v>2038</v>
      </c>
      <c r="B511" t="str">
        <f>VLOOKUP(D511,pgc_pyme!J:M,4,FALSE)</f>
        <v>Intereses de obligaciones y bonos</v>
      </c>
      <c r="C511" t="s">
        <v>2384</v>
      </c>
      <c r="D511" t="s">
        <v>2287</v>
      </c>
      <c r="E511">
        <v>0</v>
      </c>
      <c r="F511" t="s">
        <v>1584</v>
      </c>
      <c r="G511" t="s">
        <v>1585</v>
      </c>
      <c r="H511" t="s">
        <v>1579</v>
      </c>
    </row>
    <row r="512" spans="1:8" x14ac:dyDescent="0.25">
      <c r="A512" t="s">
        <v>2039</v>
      </c>
      <c r="B512" t="str">
        <f>VLOOKUP(D512,pgc_pyme!J:M,4,FALSE)</f>
        <v>Intereses de obligaciones y bonos</v>
      </c>
      <c r="C512" t="s">
        <v>2385</v>
      </c>
      <c r="D512" t="s">
        <v>2287</v>
      </c>
      <c r="E512">
        <v>0</v>
      </c>
      <c r="F512" t="s">
        <v>1584</v>
      </c>
      <c r="G512" t="s">
        <v>1585</v>
      </c>
      <c r="H512" t="s">
        <v>1579</v>
      </c>
    </row>
    <row r="513" spans="1:8" x14ac:dyDescent="0.25">
      <c r="A513" t="s">
        <v>2040</v>
      </c>
      <c r="B513" t="str">
        <f>VLOOKUP(D513,pgc_pyme!J:M,4,FALSE)</f>
        <v>Intereses de obligaciones y bonos</v>
      </c>
      <c r="C513" t="s">
        <v>2386</v>
      </c>
      <c r="D513" t="s">
        <v>2287</v>
      </c>
      <c r="E513">
        <v>0</v>
      </c>
      <c r="F513" t="s">
        <v>1584</v>
      </c>
      <c r="G513" t="s">
        <v>1585</v>
      </c>
      <c r="H513" t="s">
        <v>1579</v>
      </c>
    </row>
    <row r="514" spans="1:8" x14ac:dyDescent="0.25">
      <c r="A514" t="s">
        <v>2041</v>
      </c>
      <c r="B514" t="str">
        <f>VLOOKUP(D514,pgc_pyme!J:M,4,FALSE)</f>
        <v>Gastos Financieros</v>
      </c>
      <c r="C514" t="s">
        <v>2288</v>
      </c>
      <c r="D514" t="s">
        <v>2286</v>
      </c>
      <c r="E514">
        <v>1</v>
      </c>
      <c r="F514" t="s">
        <v>1584</v>
      </c>
      <c r="G514" t="s">
        <v>1585</v>
      </c>
      <c r="H514" t="s">
        <v>1579</v>
      </c>
    </row>
    <row r="515" spans="1:8" x14ac:dyDescent="0.25">
      <c r="A515" t="s">
        <v>2042</v>
      </c>
      <c r="B515" t="str">
        <f>VLOOKUP(D515,pgc_pyme!J:M,4,FALSE)</f>
        <v>Intereses de deudas</v>
      </c>
      <c r="C515" t="s">
        <v>2387</v>
      </c>
      <c r="D515" t="s">
        <v>2288</v>
      </c>
      <c r="E515">
        <v>0</v>
      </c>
      <c r="F515" t="s">
        <v>1584</v>
      </c>
      <c r="G515" t="s">
        <v>1585</v>
      </c>
      <c r="H515" t="s">
        <v>1579</v>
      </c>
    </row>
    <row r="516" spans="1:8" x14ac:dyDescent="0.25">
      <c r="A516" t="s">
        <v>2043</v>
      </c>
      <c r="B516" t="str">
        <f>VLOOKUP(D516,pgc_pyme!J:M,4,FALSE)</f>
        <v>Intereses de deudas</v>
      </c>
      <c r="C516" t="s">
        <v>2388</v>
      </c>
      <c r="D516" t="s">
        <v>2288</v>
      </c>
      <c r="E516">
        <v>0</v>
      </c>
      <c r="F516" t="s">
        <v>1584</v>
      </c>
      <c r="G516" t="s">
        <v>1585</v>
      </c>
      <c r="H516" t="s">
        <v>1579</v>
      </c>
    </row>
    <row r="517" spans="1:8" x14ac:dyDescent="0.25">
      <c r="A517" t="s">
        <v>2044</v>
      </c>
      <c r="B517" t="str">
        <f>VLOOKUP(D517,pgc_pyme!J:M,4,FALSE)</f>
        <v>Intereses de deudas</v>
      </c>
      <c r="C517" t="s">
        <v>2389</v>
      </c>
      <c r="D517" t="s">
        <v>2288</v>
      </c>
      <c r="E517">
        <v>0</v>
      </c>
      <c r="F517" t="s">
        <v>1584</v>
      </c>
      <c r="G517" t="s">
        <v>1585</v>
      </c>
      <c r="H517" t="s">
        <v>1579</v>
      </c>
    </row>
    <row r="518" spans="1:8" x14ac:dyDescent="0.25">
      <c r="A518" t="s">
        <v>2045</v>
      </c>
      <c r="B518" t="str">
        <f>VLOOKUP(D518,pgc_pyme!J:M,4,FALSE)</f>
        <v>Intereses de deudas</v>
      </c>
      <c r="C518" t="s">
        <v>2390</v>
      </c>
      <c r="D518" t="s">
        <v>2288</v>
      </c>
      <c r="E518">
        <v>0</v>
      </c>
      <c r="F518" t="s">
        <v>1584</v>
      </c>
      <c r="G518" t="s">
        <v>1585</v>
      </c>
      <c r="H518" t="s">
        <v>1579</v>
      </c>
    </row>
    <row r="519" spans="1:8" x14ac:dyDescent="0.25">
      <c r="A519" t="s">
        <v>2046</v>
      </c>
      <c r="B519" t="str">
        <f>VLOOKUP(D519,pgc_pyme!J:M,4,FALSE)</f>
        <v>Intereses de deudas</v>
      </c>
      <c r="C519" t="s">
        <v>2391</v>
      </c>
      <c r="D519" t="s">
        <v>2288</v>
      </c>
      <c r="E519">
        <v>0</v>
      </c>
      <c r="F519" t="s">
        <v>1584</v>
      </c>
      <c r="G519" t="s">
        <v>1585</v>
      </c>
      <c r="H519" t="s">
        <v>1579</v>
      </c>
    </row>
    <row r="520" spans="1:8" x14ac:dyDescent="0.25">
      <c r="A520" t="s">
        <v>2047</v>
      </c>
      <c r="B520" t="str">
        <f>VLOOKUP(D520,pgc_pyme!J:M,4,FALSE)</f>
        <v>Gastos Financieros</v>
      </c>
      <c r="C520" t="s">
        <v>2289</v>
      </c>
      <c r="D520" t="s">
        <v>2286</v>
      </c>
      <c r="E520">
        <v>0</v>
      </c>
      <c r="F520" t="s">
        <v>1584</v>
      </c>
      <c r="G520" t="s">
        <v>1585</v>
      </c>
      <c r="H520" t="s">
        <v>1579</v>
      </c>
    </row>
    <row r="521" spans="1:8" x14ac:dyDescent="0.25">
      <c r="A521" t="s">
        <v>2048</v>
      </c>
      <c r="B521" t="str">
        <f>VLOOKUP(D521,pgc_pyme!J:M,4,FALSE)</f>
        <v>Gastos Financieros</v>
      </c>
      <c r="C521" t="s">
        <v>2290</v>
      </c>
      <c r="D521" t="s">
        <v>2286</v>
      </c>
      <c r="E521">
        <v>1</v>
      </c>
      <c r="F521" t="s">
        <v>1584</v>
      </c>
      <c r="G521" t="s">
        <v>1585</v>
      </c>
      <c r="H521" t="s">
        <v>1579</v>
      </c>
    </row>
    <row r="522" spans="1:8" x14ac:dyDescent="0.25">
      <c r="A522" t="s">
        <v>2049</v>
      </c>
      <c r="B522" t="str">
        <f>VLOOKUP(D522,pgc_pyme!J:M,4,FALSE)</f>
        <v>Gastos por dividendos de acciones o participaciones consideradas como pasivos financieros</v>
      </c>
      <c r="C522" t="s">
        <v>2392</v>
      </c>
      <c r="D522" t="s">
        <v>2290</v>
      </c>
      <c r="E522">
        <v>0</v>
      </c>
      <c r="F522" t="s">
        <v>1584</v>
      </c>
      <c r="G522" t="s">
        <v>1585</v>
      </c>
      <c r="H522" t="s">
        <v>1579</v>
      </c>
    </row>
    <row r="523" spans="1:8" x14ac:dyDescent="0.25">
      <c r="A523" t="s">
        <v>2050</v>
      </c>
      <c r="B523" t="str">
        <f>VLOOKUP(D523,pgc_pyme!J:M,4,FALSE)</f>
        <v>Gastos por dividendos de acciones o participaciones consideradas como pasivos financieros</v>
      </c>
      <c r="C523" t="s">
        <v>2393</v>
      </c>
      <c r="D523" t="s">
        <v>2290</v>
      </c>
      <c r="E523">
        <v>0</v>
      </c>
      <c r="F523" t="s">
        <v>1584</v>
      </c>
      <c r="G523" t="s">
        <v>1585</v>
      </c>
      <c r="H523" t="s">
        <v>1579</v>
      </c>
    </row>
    <row r="524" spans="1:8" x14ac:dyDescent="0.25">
      <c r="A524" t="s">
        <v>2051</v>
      </c>
      <c r="B524" t="str">
        <f>VLOOKUP(D524,pgc_pyme!J:M,4,FALSE)</f>
        <v>Gastos por dividendos de acciones o participaciones consideradas como pasivos financieros</v>
      </c>
      <c r="C524" t="s">
        <v>2394</v>
      </c>
      <c r="D524" t="s">
        <v>2290</v>
      </c>
      <c r="E524">
        <v>0</v>
      </c>
      <c r="F524" t="s">
        <v>1584</v>
      </c>
      <c r="G524" t="s">
        <v>1585</v>
      </c>
      <c r="H524" t="s">
        <v>1579</v>
      </c>
    </row>
    <row r="525" spans="1:8" x14ac:dyDescent="0.25">
      <c r="A525" t="s">
        <v>2052</v>
      </c>
      <c r="B525" t="str">
        <f>VLOOKUP(D525,pgc_pyme!J:M,4,FALSE)</f>
        <v>Gastos por dividendos de acciones o participaciones consideradas como pasivos financieros</v>
      </c>
      <c r="C525" t="s">
        <v>2395</v>
      </c>
      <c r="D525" t="s">
        <v>2290</v>
      </c>
      <c r="E525">
        <v>0</v>
      </c>
      <c r="F525" t="s">
        <v>1584</v>
      </c>
      <c r="G525" t="s">
        <v>1585</v>
      </c>
      <c r="H525" t="s">
        <v>1579</v>
      </c>
    </row>
    <row r="526" spans="1:8" x14ac:dyDescent="0.25">
      <c r="A526" t="s">
        <v>2053</v>
      </c>
      <c r="B526" t="str">
        <f>VLOOKUP(D526,pgc_pyme!J:M,4,FALSE)</f>
        <v>Gastos Financieros</v>
      </c>
      <c r="C526" t="s">
        <v>2291</v>
      </c>
      <c r="D526" t="s">
        <v>2286</v>
      </c>
      <c r="E526">
        <v>1</v>
      </c>
      <c r="F526" t="s">
        <v>1584</v>
      </c>
      <c r="G526" t="s">
        <v>1585</v>
      </c>
      <c r="H526" t="s">
        <v>1579</v>
      </c>
    </row>
    <row r="527" spans="1:8" x14ac:dyDescent="0.25">
      <c r="A527" t="s">
        <v>2054</v>
      </c>
      <c r="B527" t="str">
        <f>VLOOKUP(D527,pgc_pyme!J:M,4,FALSE)</f>
        <v>Intereses por descuento de efectos y operaciones de “factoring”</v>
      </c>
      <c r="C527" t="s">
        <v>2396</v>
      </c>
      <c r="D527" t="s">
        <v>2291</v>
      </c>
      <c r="E527">
        <v>0</v>
      </c>
      <c r="F527" t="s">
        <v>1584</v>
      </c>
      <c r="G527" t="s">
        <v>1585</v>
      </c>
      <c r="H527" t="s">
        <v>1579</v>
      </c>
    </row>
    <row r="528" spans="1:8" x14ac:dyDescent="0.25">
      <c r="A528" t="s">
        <v>2055</v>
      </c>
      <c r="B528" t="str">
        <f>VLOOKUP(D528,pgc_pyme!J:M,4,FALSE)</f>
        <v>Intereses por descuento de efectos y operaciones de “factoring”</v>
      </c>
      <c r="C528" t="s">
        <v>2397</v>
      </c>
      <c r="D528" t="s">
        <v>2291</v>
      </c>
      <c r="E528">
        <v>0</v>
      </c>
      <c r="F528" t="s">
        <v>1584</v>
      </c>
      <c r="G528" t="s">
        <v>1585</v>
      </c>
      <c r="H528" t="s">
        <v>1579</v>
      </c>
    </row>
    <row r="529" spans="1:8" x14ac:dyDescent="0.25">
      <c r="A529" t="s">
        <v>2056</v>
      </c>
      <c r="B529" t="str">
        <f>VLOOKUP(D529,pgc_pyme!J:M,4,FALSE)</f>
        <v>Intereses por descuento de efectos y operaciones de “factoring”</v>
      </c>
      <c r="C529" t="s">
        <v>2398</v>
      </c>
      <c r="D529" t="s">
        <v>2291</v>
      </c>
      <c r="E529">
        <v>0</v>
      </c>
      <c r="F529" t="s">
        <v>1584</v>
      </c>
      <c r="G529" t="s">
        <v>1585</v>
      </c>
      <c r="H529" t="s">
        <v>1579</v>
      </c>
    </row>
    <row r="530" spans="1:8" x14ac:dyDescent="0.25">
      <c r="A530" t="s">
        <v>2057</v>
      </c>
      <c r="B530" t="str">
        <f>VLOOKUP(D530,pgc_pyme!J:M,4,FALSE)</f>
        <v>Intereses por descuento de efectos y operaciones de “factoring”</v>
      </c>
      <c r="C530" t="s">
        <v>2399</v>
      </c>
      <c r="D530" t="s">
        <v>2291</v>
      </c>
      <c r="E530">
        <v>0</v>
      </c>
      <c r="F530" t="s">
        <v>1584</v>
      </c>
      <c r="G530" t="s">
        <v>1585</v>
      </c>
      <c r="H530" t="s">
        <v>1579</v>
      </c>
    </row>
    <row r="531" spans="1:8" x14ac:dyDescent="0.25">
      <c r="A531" t="s">
        <v>2058</v>
      </c>
      <c r="B531" t="str">
        <f>VLOOKUP(D531,pgc_pyme!J:M,4,FALSE)</f>
        <v>Intereses por descuento de efectos y operaciones de “factoring”</v>
      </c>
      <c r="C531" t="s">
        <v>2400</v>
      </c>
      <c r="D531" t="s">
        <v>2291</v>
      </c>
      <c r="E531">
        <v>0</v>
      </c>
      <c r="F531" t="s">
        <v>1584</v>
      </c>
      <c r="G531" t="s">
        <v>1585</v>
      </c>
      <c r="H531" t="s">
        <v>1579</v>
      </c>
    </row>
    <row r="532" spans="1:8" x14ac:dyDescent="0.25">
      <c r="A532" t="s">
        <v>2059</v>
      </c>
      <c r="B532" t="str">
        <f>VLOOKUP(D532,pgc_pyme!J:M,4,FALSE)</f>
        <v>Intereses por descuento de efectos y operaciones de “factoring”</v>
      </c>
      <c r="C532" t="s">
        <v>2401</v>
      </c>
      <c r="D532" t="s">
        <v>2291</v>
      </c>
      <c r="E532">
        <v>0</v>
      </c>
      <c r="F532" t="s">
        <v>1584</v>
      </c>
      <c r="G532" t="s">
        <v>1585</v>
      </c>
      <c r="H532" t="s">
        <v>1579</v>
      </c>
    </row>
    <row r="533" spans="1:8" x14ac:dyDescent="0.25">
      <c r="A533" t="s">
        <v>2060</v>
      </c>
      <c r="B533" t="str">
        <f>VLOOKUP(D533,pgc_pyme!J:M,4,FALSE)</f>
        <v>Intereses por descuento de efectos y operaciones de “factoring”</v>
      </c>
      <c r="C533" t="s">
        <v>2402</v>
      </c>
      <c r="D533" t="s">
        <v>2291</v>
      </c>
      <c r="E533">
        <v>0</v>
      </c>
      <c r="F533" t="s">
        <v>1584</v>
      </c>
      <c r="G533" t="s">
        <v>1585</v>
      </c>
      <c r="H533" t="s">
        <v>1579</v>
      </c>
    </row>
    <row r="534" spans="1:8" x14ac:dyDescent="0.25">
      <c r="A534" t="s">
        <v>2061</v>
      </c>
      <c r="B534" t="str">
        <f>VLOOKUP(D534,pgc_pyme!J:M,4,FALSE)</f>
        <v>Intereses por descuento de efectos y operaciones de “factoring”</v>
      </c>
      <c r="C534" t="s">
        <v>2403</v>
      </c>
      <c r="D534" t="s">
        <v>2291</v>
      </c>
      <c r="E534">
        <v>0</v>
      </c>
      <c r="F534" t="s">
        <v>1584</v>
      </c>
      <c r="G534" t="s">
        <v>1585</v>
      </c>
      <c r="H534" t="s">
        <v>1579</v>
      </c>
    </row>
    <row r="535" spans="1:8" x14ac:dyDescent="0.25">
      <c r="A535" t="s">
        <v>2062</v>
      </c>
      <c r="B535" t="str">
        <f>VLOOKUP(D535,pgc_pyme!J:M,4,FALSE)</f>
        <v>Gastos Financieros</v>
      </c>
      <c r="C535" t="s">
        <v>2292</v>
      </c>
      <c r="D535" t="s">
        <v>2286</v>
      </c>
      <c r="E535">
        <v>1</v>
      </c>
      <c r="F535" t="s">
        <v>1584</v>
      </c>
      <c r="G535" t="s">
        <v>1585</v>
      </c>
      <c r="H535" t="s">
        <v>1579</v>
      </c>
    </row>
    <row r="536" spans="1:8" x14ac:dyDescent="0.25">
      <c r="A536" t="s">
        <v>2063</v>
      </c>
      <c r="B536" t="str">
        <f>VLOOKUP(D536,pgc_pyme!J:M,4,FALSE)</f>
        <v>Pérdidas en participaciones y valores representativos de deuda</v>
      </c>
      <c r="C536" t="s">
        <v>2404</v>
      </c>
      <c r="D536" t="s">
        <v>2292</v>
      </c>
      <c r="E536">
        <v>0</v>
      </c>
      <c r="F536" t="s">
        <v>1584</v>
      </c>
      <c r="G536" t="s">
        <v>1585</v>
      </c>
      <c r="H536" t="s">
        <v>1579</v>
      </c>
    </row>
    <row r="537" spans="1:8" x14ac:dyDescent="0.25">
      <c r="A537" t="s">
        <v>2064</v>
      </c>
      <c r="B537" t="str">
        <f>VLOOKUP(D537,pgc_pyme!J:M,4,FALSE)</f>
        <v>Pérdidas en participaciones y valores representativos de deuda</v>
      </c>
      <c r="C537" t="s">
        <v>2405</v>
      </c>
      <c r="D537" t="s">
        <v>2292</v>
      </c>
      <c r="E537">
        <v>0</v>
      </c>
      <c r="F537" t="s">
        <v>1584</v>
      </c>
      <c r="G537" t="s">
        <v>1585</v>
      </c>
      <c r="H537" t="s">
        <v>1579</v>
      </c>
    </row>
    <row r="538" spans="1:8" x14ac:dyDescent="0.25">
      <c r="A538" t="s">
        <v>2065</v>
      </c>
      <c r="B538" t="str">
        <f>VLOOKUP(D538,pgc_pyme!J:M,4,FALSE)</f>
        <v>Pérdidas en participaciones y valores representativos de deuda</v>
      </c>
      <c r="C538" t="s">
        <v>2406</v>
      </c>
      <c r="D538" t="s">
        <v>2292</v>
      </c>
      <c r="E538">
        <v>0</v>
      </c>
      <c r="F538" t="s">
        <v>1584</v>
      </c>
      <c r="G538" t="s">
        <v>1585</v>
      </c>
      <c r="H538" t="s">
        <v>1579</v>
      </c>
    </row>
    <row r="539" spans="1:8" x14ac:dyDescent="0.25">
      <c r="A539" t="s">
        <v>2066</v>
      </c>
      <c r="B539" t="str">
        <f>VLOOKUP(D539,pgc_pyme!J:M,4,FALSE)</f>
        <v>Pérdidas en participaciones y valores representativos de deuda</v>
      </c>
      <c r="C539" t="s">
        <v>2407</v>
      </c>
      <c r="D539" t="s">
        <v>2292</v>
      </c>
      <c r="E539">
        <v>0</v>
      </c>
      <c r="F539" t="s">
        <v>1584</v>
      </c>
      <c r="G539" t="s">
        <v>1585</v>
      </c>
      <c r="H539" t="s">
        <v>1579</v>
      </c>
    </row>
    <row r="540" spans="1:8" x14ac:dyDescent="0.25">
      <c r="A540" t="s">
        <v>2067</v>
      </c>
      <c r="B540" t="str">
        <f>VLOOKUP(D540,pgc_pyme!J:M,4,FALSE)</f>
        <v>Pérdidas en participaciones y valores representativos de deuda</v>
      </c>
      <c r="C540" t="s">
        <v>2408</v>
      </c>
      <c r="D540" t="s">
        <v>2292</v>
      </c>
      <c r="E540">
        <v>0</v>
      </c>
      <c r="F540" t="s">
        <v>1584</v>
      </c>
      <c r="G540" t="s">
        <v>1585</v>
      </c>
      <c r="H540" t="s">
        <v>1579</v>
      </c>
    </row>
    <row r="541" spans="1:8" x14ac:dyDescent="0.25">
      <c r="A541" t="s">
        <v>2068</v>
      </c>
      <c r="B541" t="str">
        <f>VLOOKUP(D541,pgc_pyme!J:M,4,FALSE)</f>
        <v>Pérdidas en participaciones y valores representativos de deuda</v>
      </c>
      <c r="C541" t="s">
        <v>2409</v>
      </c>
      <c r="D541" t="s">
        <v>2292</v>
      </c>
      <c r="E541">
        <v>0</v>
      </c>
      <c r="F541" t="s">
        <v>1584</v>
      </c>
      <c r="G541" t="s">
        <v>1585</v>
      </c>
      <c r="H541" t="s">
        <v>1579</v>
      </c>
    </row>
    <row r="542" spans="1:8" x14ac:dyDescent="0.25">
      <c r="A542" t="s">
        <v>2069</v>
      </c>
      <c r="B542" t="str">
        <f>VLOOKUP(D542,pgc_pyme!J:M,4,FALSE)</f>
        <v>Pérdidas en participaciones y valores representativos de deuda</v>
      </c>
      <c r="C542" t="s">
        <v>2410</v>
      </c>
      <c r="D542" t="s">
        <v>2292</v>
      </c>
      <c r="E542">
        <v>0</v>
      </c>
      <c r="F542" t="s">
        <v>1584</v>
      </c>
      <c r="G542" t="s">
        <v>1585</v>
      </c>
      <c r="H542" t="s">
        <v>1579</v>
      </c>
    </row>
    <row r="543" spans="1:8" x14ac:dyDescent="0.25">
      <c r="A543" t="s">
        <v>2070</v>
      </c>
      <c r="B543" t="str">
        <f>VLOOKUP(D543,pgc_pyme!J:M,4,FALSE)</f>
        <v>Pérdidas en participaciones y valores representativos de deuda</v>
      </c>
      <c r="C543" t="s">
        <v>2411</v>
      </c>
      <c r="D543" t="s">
        <v>2292</v>
      </c>
      <c r="E543">
        <v>0</v>
      </c>
      <c r="F543" t="s">
        <v>1584</v>
      </c>
      <c r="G543" t="s">
        <v>1585</v>
      </c>
      <c r="H543" t="s">
        <v>1579</v>
      </c>
    </row>
    <row r="544" spans="1:8" x14ac:dyDescent="0.25">
      <c r="A544" t="s">
        <v>2071</v>
      </c>
      <c r="B544" t="str">
        <f>VLOOKUP(D544,pgc_pyme!J:M,4,FALSE)</f>
        <v>Gastos Financieros</v>
      </c>
      <c r="C544" t="s">
        <v>2293</v>
      </c>
      <c r="D544" t="s">
        <v>2286</v>
      </c>
      <c r="E544">
        <v>1</v>
      </c>
      <c r="F544" t="s">
        <v>1584</v>
      </c>
      <c r="G544" t="s">
        <v>1585</v>
      </c>
      <c r="H544" t="s">
        <v>1579</v>
      </c>
    </row>
    <row r="545" spans="1:8" x14ac:dyDescent="0.25">
      <c r="A545" t="s">
        <v>2072</v>
      </c>
      <c r="B545" t="str">
        <f>VLOOKUP(D545,pgc_pyme!J:M,4,FALSE)</f>
        <v>Pérdidas de créditos no comerciales</v>
      </c>
      <c r="C545" t="s">
        <v>2412</v>
      </c>
      <c r="D545" t="s">
        <v>2293</v>
      </c>
      <c r="E545">
        <v>0</v>
      </c>
      <c r="F545" t="s">
        <v>1584</v>
      </c>
      <c r="G545" t="s">
        <v>1585</v>
      </c>
      <c r="H545" t="s">
        <v>1579</v>
      </c>
    </row>
    <row r="546" spans="1:8" x14ac:dyDescent="0.25">
      <c r="A546" t="s">
        <v>2073</v>
      </c>
      <c r="B546" t="str">
        <f>VLOOKUP(D546,pgc_pyme!J:M,4,FALSE)</f>
        <v>Pérdidas de créditos no comerciales</v>
      </c>
      <c r="C546" t="s">
        <v>2413</v>
      </c>
      <c r="D546" t="s">
        <v>2293</v>
      </c>
      <c r="E546">
        <v>0</v>
      </c>
      <c r="F546" t="s">
        <v>1584</v>
      </c>
      <c r="G546" t="s">
        <v>1585</v>
      </c>
      <c r="H546" t="s">
        <v>1579</v>
      </c>
    </row>
    <row r="547" spans="1:8" x14ac:dyDescent="0.25">
      <c r="A547" t="s">
        <v>2074</v>
      </c>
      <c r="B547" t="str">
        <f>VLOOKUP(D547,pgc_pyme!J:M,4,FALSE)</f>
        <v>Pérdidas de créditos no comerciales</v>
      </c>
      <c r="C547" t="s">
        <v>2414</v>
      </c>
      <c r="D547" t="s">
        <v>2293</v>
      </c>
      <c r="E547">
        <v>0</v>
      </c>
      <c r="F547" t="s">
        <v>1584</v>
      </c>
      <c r="G547" t="s">
        <v>1585</v>
      </c>
      <c r="H547" t="s">
        <v>1579</v>
      </c>
    </row>
    <row r="548" spans="1:8" x14ac:dyDescent="0.25">
      <c r="A548" t="s">
        <v>2075</v>
      </c>
      <c r="B548" t="str">
        <f>VLOOKUP(D548,pgc_pyme!J:M,4,FALSE)</f>
        <v>Pérdidas de créditos no comerciales</v>
      </c>
      <c r="C548" t="s">
        <v>2415</v>
      </c>
      <c r="D548" t="s">
        <v>2293</v>
      </c>
      <c r="E548">
        <v>0</v>
      </c>
      <c r="F548" t="s">
        <v>1584</v>
      </c>
      <c r="G548" t="s">
        <v>1585</v>
      </c>
      <c r="H548" t="s">
        <v>1579</v>
      </c>
    </row>
    <row r="549" spans="1:8" x14ac:dyDescent="0.25">
      <c r="A549" t="s">
        <v>2076</v>
      </c>
      <c r="B549" t="str">
        <f>VLOOKUP(D549,pgc_pyme!J:M,4,FALSE)</f>
        <v>Pérdidas de créditos no comerciales</v>
      </c>
      <c r="C549" t="s">
        <v>2416</v>
      </c>
      <c r="D549" t="s">
        <v>2293</v>
      </c>
      <c r="E549">
        <v>0</v>
      </c>
      <c r="F549" t="s">
        <v>1584</v>
      </c>
      <c r="G549" t="s">
        <v>1585</v>
      </c>
      <c r="H549" t="s">
        <v>1579</v>
      </c>
    </row>
    <row r="550" spans="1:8" x14ac:dyDescent="0.25">
      <c r="A550" t="s">
        <v>2077</v>
      </c>
      <c r="B550" t="str">
        <f>VLOOKUP(D550,pgc_pyme!J:M,4,FALSE)</f>
        <v>Pérdidas de créditos no comerciales</v>
      </c>
      <c r="C550" t="s">
        <v>2417</v>
      </c>
      <c r="D550" t="s">
        <v>2293</v>
      </c>
      <c r="E550">
        <v>0</v>
      </c>
      <c r="F550" t="s">
        <v>1584</v>
      </c>
      <c r="G550" t="s">
        <v>1585</v>
      </c>
      <c r="H550" t="s">
        <v>1579</v>
      </c>
    </row>
    <row r="551" spans="1:8" x14ac:dyDescent="0.25">
      <c r="A551" t="s">
        <v>2078</v>
      </c>
      <c r="B551" t="str">
        <f>VLOOKUP(D551,pgc_pyme!J:M,4,FALSE)</f>
        <v>Pérdidas de créditos no comerciales</v>
      </c>
      <c r="C551" t="s">
        <v>2418</v>
      </c>
      <c r="D551" t="s">
        <v>2293</v>
      </c>
      <c r="E551">
        <v>0</v>
      </c>
      <c r="F551" t="s">
        <v>1584</v>
      </c>
      <c r="G551" t="s">
        <v>1585</v>
      </c>
      <c r="H551" t="s">
        <v>1579</v>
      </c>
    </row>
    <row r="552" spans="1:8" x14ac:dyDescent="0.25">
      <c r="A552" t="s">
        <v>2079</v>
      </c>
      <c r="B552" t="str">
        <f>VLOOKUP(D552,pgc_pyme!J:M,4,FALSE)</f>
        <v>Pérdidas de créditos no comerciales</v>
      </c>
      <c r="C552" t="s">
        <v>2419</v>
      </c>
      <c r="D552" t="s">
        <v>2293</v>
      </c>
      <c r="E552">
        <v>0</v>
      </c>
      <c r="F552" t="s">
        <v>1584</v>
      </c>
      <c r="G552" t="s">
        <v>1585</v>
      </c>
      <c r="H552" t="s">
        <v>1579</v>
      </c>
    </row>
    <row r="553" spans="1:8" x14ac:dyDescent="0.25">
      <c r="A553" t="s">
        <v>2080</v>
      </c>
      <c r="B553" t="str">
        <f>VLOOKUP(D553,pgc_pyme!J:M,4,FALSE)</f>
        <v>Gastos Financieros</v>
      </c>
      <c r="C553" t="s">
        <v>2420</v>
      </c>
      <c r="D553" t="s">
        <v>2286</v>
      </c>
      <c r="E553">
        <v>0</v>
      </c>
      <c r="F553" t="s">
        <v>1584</v>
      </c>
      <c r="G553" t="s">
        <v>1585</v>
      </c>
      <c r="H553" t="s">
        <v>1579</v>
      </c>
    </row>
    <row r="554" spans="1:8" x14ac:dyDescent="0.25">
      <c r="A554" t="s">
        <v>2081</v>
      </c>
      <c r="B554" t="str">
        <f>VLOOKUP(D554,pgc_pyme!J:M,4,FALSE)</f>
        <v>Gastos Financieros</v>
      </c>
      <c r="C554" t="s">
        <v>2421</v>
      </c>
      <c r="D554" t="s">
        <v>2286</v>
      </c>
      <c r="E554">
        <v>0</v>
      </c>
      <c r="F554" t="s">
        <v>1584</v>
      </c>
      <c r="G554" t="s">
        <v>1585</v>
      </c>
      <c r="H554" t="s">
        <v>1579</v>
      </c>
    </row>
    <row r="555" spans="1:8" x14ac:dyDescent="0.25">
      <c r="A555" t="s">
        <v>3063</v>
      </c>
      <c r="B555" t="str">
        <f>VLOOKUP(D555,pgc_pyme!J:M,4,FALSE)</f>
        <v>GASTOS</v>
      </c>
      <c r="C555" t="s">
        <v>2294</v>
      </c>
      <c r="D555" t="s">
        <v>2268</v>
      </c>
      <c r="E555">
        <v>1</v>
      </c>
      <c r="F555" t="s">
        <v>1584</v>
      </c>
      <c r="G555" t="s">
        <v>1585</v>
      </c>
      <c r="H555" t="s">
        <v>1579</v>
      </c>
    </row>
    <row r="556" spans="1:8" x14ac:dyDescent="0.25">
      <c r="A556" t="s">
        <v>2082</v>
      </c>
      <c r="B556" t="str">
        <f>VLOOKUP(D556,pgc_pyme!J:M,4,FALSE)</f>
        <v>Pérdidas Procedentes de Activos No Corrientes Y Gastos Excepcionales</v>
      </c>
      <c r="C556" t="s">
        <v>2422</v>
      </c>
      <c r="D556" t="s">
        <v>2294</v>
      </c>
      <c r="E556">
        <v>0</v>
      </c>
      <c r="F556" t="s">
        <v>1584</v>
      </c>
      <c r="G556" t="s">
        <v>1585</v>
      </c>
      <c r="H556" t="s">
        <v>1579</v>
      </c>
    </row>
    <row r="557" spans="1:8" x14ac:dyDescent="0.25">
      <c r="A557" t="s">
        <v>2083</v>
      </c>
      <c r="B557" t="str">
        <f>VLOOKUP(D557,pgc_pyme!J:M,4,FALSE)</f>
        <v>Pérdidas Procedentes de Activos No Corrientes Y Gastos Excepcionales</v>
      </c>
      <c r="C557" t="s">
        <v>2423</v>
      </c>
      <c r="D557" t="s">
        <v>2294</v>
      </c>
      <c r="E557">
        <v>0</v>
      </c>
      <c r="F557" t="s">
        <v>1584</v>
      </c>
      <c r="G557" t="s">
        <v>1585</v>
      </c>
      <c r="H557" t="s">
        <v>1579</v>
      </c>
    </row>
    <row r="558" spans="1:8" x14ac:dyDescent="0.25">
      <c r="A558" t="s">
        <v>2084</v>
      </c>
      <c r="B558" t="str">
        <f>VLOOKUP(D558,pgc_pyme!J:M,4,FALSE)</f>
        <v>Pérdidas Procedentes de Activos No Corrientes Y Gastos Excepcionales</v>
      </c>
      <c r="C558" t="s">
        <v>2424</v>
      </c>
      <c r="D558" t="s">
        <v>2294</v>
      </c>
      <c r="E558">
        <v>0</v>
      </c>
      <c r="F558" t="s">
        <v>1584</v>
      </c>
      <c r="G558" t="s">
        <v>1585</v>
      </c>
      <c r="H558" t="s">
        <v>1579</v>
      </c>
    </row>
    <row r="559" spans="1:8" x14ac:dyDescent="0.25">
      <c r="A559" t="s">
        <v>2085</v>
      </c>
      <c r="B559" t="str">
        <f>VLOOKUP(D559,pgc_pyme!J:M,4,FALSE)</f>
        <v>Pérdidas Procedentes de Activos No Corrientes Y Gastos Excepcionales</v>
      </c>
      <c r="C559" t="s">
        <v>2295</v>
      </c>
      <c r="D559" t="s">
        <v>2294</v>
      </c>
      <c r="E559">
        <v>1</v>
      </c>
      <c r="F559" t="s">
        <v>1584</v>
      </c>
      <c r="G559" t="s">
        <v>1585</v>
      </c>
      <c r="H559" t="s">
        <v>1579</v>
      </c>
    </row>
    <row r="560" spans="1:8" x14ac:dyDescent="0.25">
      <c r="A560" t="s">
        <v>2086</v>
      </c>
      <c r="B560" t="str">
        <f>VLOOKUP(D560,pgc_pyme!J:M,4,FALSE)</f>
        <v>Pérdidas procedentes de participaciones a largo plazo en partes vinculadas</v>
      </c>
      <c r="C560" t="s">
        <v>2425</v>
      </c>
      <c r="D560" t="s">
        <v>2295</v>
      </c>
      <c r="E560">
        <v>0</v>
      </c>
      <c r="F560" t="s">
        <v>1584</v>
      </c>
      <c r="G560" t="s">
        <v>1585</v>
      </c>
      <c r="H560" t="s">
        <v>1579</v>
      </c>
    </row>
    <row r="561" spans="1:8" x14ac:dyDescent="0.25">
      <c r="A561" t="s">
        <v>2087</v>
      </c>
      <c r="B561" t="str">
        <f>VLOOKUP(D561,pgc_pyme!J:M,4,FALSE)</f>
        <v>Pérdidas procedentes de participaciones a largo plazo en partes vinculadas</v>
      </c>
      <c r="C561" t="s">
        <v>2426</v>
      </c>
      <c r="D561" t="s">
        <v>2295</v>
      </c>
      <c r="E561">
        <v>0</v>
      </c>
      <c r="F561" t="s">
        <v>1584</v>
      </c>
      <c r="G561" t="s">
        <v>1585</v>
      </c>
      <c r="H561" t="s">
        <v>1579</v>
      </c>
    </row>
    <row r="562" spans="1:8" x14ac:dyDescent="0.25">
      <c r="A562" t="s">
        <v>2088</v>
      </c>
      <c r="B562" t="str">
        <f>VLOOKUP(D562,pgc_pyme!J:M,4,FALSE)</f>
        <v>Pérdidas procedentes de participaciones a largo plazo en partes vinculadas</v>
      </c>
      <c r="C562" t="s">
        <v>2427</v>
      </c>
      <c r="D562" t="s">
        <v>2295</v>
      </c>
      <c r="E562">
        <v>0</v>
      </c>
      <c r="F562" t="s">
        <v>1584</v>
      </c>
      <c r="G562" t="s">
        <v>1585</v>
      </c>
      <c r="H562" t="s">
        <v>1579</v>
      </c>
    </row>
    <row r="563" spans="1:8" x14ac:dyDescent="0.25">
      <c r="A563" t="s">
        <v>2089</v>
      </c>
      <c r="B563" t="str">
        <f>VLOOKUP(D563,pgc_pyme!J:M,4,FALSE)</f>
        <v>Pérdidas Procedentes de Activos No Corrientes Y Gastos Excepcionales</v>
      </c>
      <c r="C563" t="s">
        <v>2428</v>
      </c>
      <c r="D563" t="s">
        <v>2294</v>
      </c>
      <c r="E563">
        <v>0</v>
      </c>
      <c r="F563" t="s">
        <v>1584</v>
      </c>
      <c r="G563" t="s">
        <v>1585</v>
      </c>
      <c r="H563" t="s">
        <v>1579</v>
      </c>
    </row>
    <row r="564" spans="1:8" x14ac:dyDescent="0.25">
      <c r="A564" t="s">
        <v>2090</v>
      </c>
      <c r="B564" t="str">
        <f>VLOOKUP(D564,pgc_pyme!J:M,4,FALSE)</f>
        <v>Pérdidas Procedentes de Activos No Corrientes Y Gastos Excepcionales</v>
      </c>
      <c r="C564" t="s">
        <v>2429</v>
      </c>
      <c r="D564" t="s">
        <v>2294</v>
      </c>
      <c r="E564">
        <v>0</v>
      </c>
      <c r="F564" t="s">
        <v>1584</v>
      </c>
      <c r="G564" t="s">
        <v>1585</v>
      </c>
      <c r="H564" t="s">
        <v>1579</v>
      </c>
    </row>
    <row r="565" spans="1:8" x14ac:dyDescent="0.25">
      <c r="A565" t="s">
        <v>3064</v>
      </c>
      <c r="B565" t="str">
        <f>VLOOKUP(D565,pgc_pyme!J:M,4,FALSE)</f>
        <v>GASTOS</v>
      </c>
      <c r="C565" t="s">
        <v>2296</v>
      </c>
      <c r="D565" t="s">
        <v>2268</v>
      </c>
      <c r="E565">
        <v>1</v>
      </c>
      <c r="F565" t="s">
        <v>1598</v>
      </c>
      <c r="G565" t="s">
        <v>1585</v>
      </c>
      <c r="H565" t="s">
        <v>1579</v>
      </c>
    </row>
    <row r="566" spans="1:8" x14ac:dyDescent="0.25">
      <c r="A566" t="s">
        <v>2091</v>
      </c>
      <c r="B566" t="str">
        <f>VLOOKUP(D566,pgc_pyme!J:M,4,FALSE)</f>
        <v>Dotaciones para Amortizaciones</v>
      </c>
      <c r="C566" t="s">
        <v>2430</v>
      </c>
      <c r="D566" t="s">
        <v>2296</v>
      </c>
      <c r="E566">
        <v>0</v>
      </c>
      <c r="F566" t="s">
        <v>1598</v>
      </c>
      <c r="G566" t="s">
        <v>1585</v>
      </c>
      <c r="H566" t="s">
        <v>1579</v>
      </c>
    </row>
    <row r="567" spans="1:8" x14ac:dyDescent="0.25">
      <c r="A567" t="s">
        <v>2092</v>
      </c>
      <c r="B567" t="str">
        <f>VLOOKUP(D567,pgc_pyme!J:M,4,FALSE)</f>
        <v>Dotaciones para Amortizaciones</v>
      </c>
      <c r="C567" t="s">
        <v>2431</v>
      </c>
      <c r="D567" t="s">
        <v>2296</v>
      </c>
      <c r="E567">
        <v>0</v>
      </c>
      <c r="F567" t="s">
        <v>1598</v>
      </c>
      <c r="G567" t="s">
        <v>1585</v>
      </c>
      <c r="H567" t="s">
        <v>1579</v>
      </c>
    </row>
    <row r="568" spans="1:8" x14ac:dyDescent="0.25">
      <c r="A568" t="s">
        <v>2093</v>
      </c>
      <c r="B568" t="str">
        <f>VLOOKUP(D568,pgc_pyme!J:M,4,FALSE)</f>
        <v>Dotaciones para Amortizaciones</v>
      </c>
      <c r="C568" t="s">
        <v>2432</v>
      </c>
      <c r="D568" t="s">
        <v>2296</v>
      </c>
      <c r="E568">
        <v>0</v>
      </c>
      <c r="F568" t="s">
        <v>1598</v>
      </c>
      <c r="G568" t="s">
        <v>1585</v>
      </c>
      <c r="H568" t="s">
        <v>1579</v>
      </c>
    </row>
    <row r="569" spans="1:8" x14ac:dyDescent="0.25">
      <c r="A569" t="s">
        <v>3086</v>
      </c>
      <c r="B569" t="str">
        <f>VLOOKUP(D569,pgc_pyme!J:M,4,FALSE)</f>
        <v>GASTOS</v>
      </c>
      <c r="C569" t="s">
        <v>2297</v>
      </c>
      <c r="D569" t="s">
        <v>2268</v>
      </c>
      <c r="E569">
        <v>1</v>
      </c>
      <c r="F569" t="s">
        <v>1584</v>
      </c>
      <c r="G569" t="s">
        <v>1585</v>
      </c>
      <c r="H569" t="s">
        <v>1579</v>
      </c>
    </row>
    <row r="570" spans="1:8" x14ac:dyDescent="0.25">
      <c r="A570" t="s">
        <v>2094</v>
      </c>
      <c r="B570" t="str">
        <f>VLOOKUP(D570,pgc_pyme!J:M,4,FALSE)</f>
        <v>Pérdidas por Deterioro y Otras Dotaciones</v>
      </c>
      <c r="C570" t="s">
        <v>2433</v>
      </c>
      <c r="D570" t="s">
        <v>2297</v>
      </c>
      <c r="E570">
        <v>0</v>
      </c>
      <c r="F570" t="s">
        <v>1584</v>
      </c>
      <c r="G570" t="s">
        <v>1585</v>
      </c>
      <c r="H570" t="s">
        <v>1579</v>
      </c>
    </row>
    <row r="571" spans="1:8" x14ac:dyDescent="0.25">
      <c r="A571" t="s">
        <v>2095</v>
      </c>
      <c r="B571" t="str">
        <f>VLOOKUP(D571,pgc_pyme!J:M,4,FALSE)</f>
        <v>Pérdidas por Deterioro y Otras Dotaciones</v>
      </c>
      <c r="C571" t="s">
        <v>2434</v>
      </c>
      <c r="D571" t="s">
        <v>2297</v>
      </c>
      <c r="E571">
        <v>0</v>
      </c>
      <c r="F571" t="s">
        <v>1584</v>
      </c>
      <c r="G571" t="s">
        <v>1585</v>
      </c>
      <c r="H571" t="s">
        <v>1579</v>
      </c>
    </row>
    <row r="572" spans="1:8" x14ac:dyDescent="0.25">
      <c r="A572" t="s">
        <v>2096</v>
      </c>
      <c r="B572" t="str">
        <f>VLOOKUP(D572,pgc_pyme!J:M,4,FALSE)</f>
        <v>Pérdidas por Deterioro y Otras Dotaciones</v>
      </c>
      <c r="C572" t="s">
        <v>2435</v>
      </c>
      <c r="D572" t="s">
        <v>2297</v>
      </c>
      <c r="E572">
        <v>0</v>
      </c>
      <c r="F572" t="s">
        <v>1584</v>
      </c>
      <c r="G572" t="s">
        <v>1585</v>
      </c>
      <c r="H572" t="s">
        <v>1579</v>
      </c>
    </row>
    <row r="573" spans="1:8" x14ac:dyDescent="0.25">
      <c r="A573" t="s">
        <v>2097</v>
      </c>
      <c r="B573" t="str">
        <f>VLOOKUP(D573,pgc_pyme!J:M,4,FALSE)</f>
        <v>Pérdidas por Deterioro y Otras Dotaciones</v>
      </c>
      <c r="C573" t="s">
        <v>2298</v>
      </c>
      <c r="D573" t="s">
        <v>2297</v>
      </c>
      <c r="E573">
        <v>1</v>
      </c>
      <c r="F573" t="s">
        <v>1584</v>
      </c>
      <c r="G573" t="s">
        <v>1585</v>
      </c>
      <c r="H573" t="s">
        <v>1579</v>
      </c>
    </row>
    <row r="574" spans="1:8" x14ac:dyDescent="0.25">
      <c r="A574" t="s">
        <v>2098</v>
      </c>
      <c r="B574" t="str">
        <f>VLOOKUP(D574,pgc_pyme!J:M,4,FALSE)</f>
        <v>Pérdidas por deterioro de existencias</v>
      </c>
      <c r="C574" t="s">
        <v>2436</v>
      </c>
      <c r="D574" t="s">
        <v>2298</v>
      </c>
      <c r="E574">
        <v>0</v>
      </c>
      <c r="F574" t="s">
        <v>1584</v>
      </c>
      <c r="G574" t="s">
        <v>1585</v>
      </c>
      <c r="H574" t="s">
        <v>1579</v>
      </c>
    </row>
    <row r="575" spans="1:8" x14ac:dyDescent="0.25">
      <c r="A575" t="s">
        <v>2099</v>
      </c>
      <c r="B575" t="str">
        <f>VLOOKUP(D575,pgc_pyme!J:M,4,FALSE)</f>
        <v>Pérdidas por deterioro de existencias</v>
      </c>
      <c r="C575" t="s">
        <v>2437</v>
      </c>
      <c r="D575" t="s">
        <v>2298</v>
      </c>
      <c r="E575">
        <v>0</v>
      </c>
      <c r="F575" t="s">
        <v>1584</v>
      </c>
      <c r="G575" t="s">
        <v>1585</v>
      </c>
      <c r="H575" t="s">
        <v>1579</v>
      </c>
    </row>
    <row r="576" spans="1:8" x14ac:dyDescent="0.25">
      <c r="A576" t="s">
        <v>2100</v>
      </c>
      <c r="B576" t="str">
        <f>VLOOKUP(D576,pgc_pyme!J:M,4,FALSE)</f>
        <v>Pérdidas por deterioro de existencias</v>
      </c>
      <c r="C576" t="s">
        <v>2438</v>
      </c>
      <c r="D576" t="s">
        <v>2298</v>
      </c>
      <c r="E576">
        <v>0</v>
      </c>
      <c r="F576" t="s">
        <v>1584</v>
      </c>
      <c r="G576" t="s">
        <v>1585</v>
      </c>
      <c r="H576" t="s">
        <v>1579</v>
      </c>
    </row>
    <row r="577" spans="1:8" x14ac:dyDescent="0.25">
      <c r="A577" t="s">
        <v>2101</v>
      </c>
      <c r="B577" t="str">
        <f>VLOOKUP(D577,pgc_pyme!J:M,4,FALSE)</f>
        <v>Pérdidas por deterioro de existencias</v>
      </c>
      <c r="C577" t="s">
        <v>2439</v>
      </c>
      <c r="D577" t="s">
        <v>2298</v>
      </c>
      <c r="E577">
        <v>0</v>
      </c>
      <c r="F577" t="s">
        <v>1584</v>
      </c>
      <c r="G577" t="s">
        <v>1585</v>
      </c>
      <c r="H577" t="s">
        <v>1579</v>
      </c>
    </row>
    <row r="578" spans="1:8" x14ac:dyDescent="0.25">
      <c r="A578" t="s">
        <v>2102</v>
      </c>
      <c r="B578" t="str">
        <f>VLOOKUP(D578,pgc_pyme!J:M,4,FALSE)</f>
        <v>Pérdidas por Deterioro y Otras Dotaciones</v>
      </c>
      <c r="C578" t="s">
        <v>2440</v>
      </c>
      <c r="D578" t="s">
        <v>2297</v>
      </c>
      <c r="E578">
        <v>0</v>
      </c>
      <c r="F578" t="s">
        <v>1584</v>
      </c>
      <c r="G578" t="s">
        <v>1585</v>
      </c>
      <c r="H578" t="s">
        <v>1579</v>
      </c>
    </row>
    <row r="579" spans="1:8" x14ac:dyDescent="0.25">
      <c r="A579" t="s">
        <v>2103</v>
      </c>
      <c r="B579" t="str">
        <f>VLOOKUP(D579,pgc_pyme!J:M,4,FALSE)</f>
        <v>Pérdidas por Deterioro y Otras Dotaciones</v>
      </c>
      <c r="C579" t="s">
        <v>2299</v>
      </c>
      <c r="D579" t="s">
        <v>2297</v>
      </c>
      <c r="E579">
        <v>1</v>
      </c>
      <c r="F579" t="s">
        <v>1584</v>
      </c>
      <c r="G579" t="s">
        <v>1585</v>
      </c>
      <c r="H579" t="s">
        <v>1579</v>
      </c>
    </row>
    <row r="580" spans="1:8" x14ac:dyDescent="0.25">
      <c r="A580" t="s">
        <v>2104</v>
      </c>
      <c r="B580" t="str">
        <f>VLOOKUP(D580,pgc_pyme!J:M,4,FALSE)</f>
        <v>Dotación a la provisión por operaciones comerciales</v>
      </c>
      <c r="C580" t="s">
        <v>2441</v>
      </c>
      <c r="D580" t="s">
        <v>2299</v>
      </c>
      <c r="E580">
        <v>0</v>
      </c>
      <c r="F580" t="s">
        <v>1584</v>
      </c>
      <c r="G580" t="s">
        <v>1585</v>
      </c>
      <c r="H580" t="s">
        <v>1579</v>
      </c>
    </row>
    <row r="581" spans="1:8" x14ac:dyDescent="0.25">
      <c r="A581" t="s">
        <v>2105</v>
      </c>
      <c r="B581" t="str">
        <f>VLOOKUP(D581,pgc_pyme!J:M,4,FALSE)</f>
        <v>Dotación a la provisión por operaciones comerciales</v>
      </c>
      <c r="C581" t="s">
        <v>2442</v>
      </c>
      <c r="D581" t="s">
        <v>2299</v>
      </c>
      <c r="E581">
        <v>0</v>
      </c>
      <c r="F581" t="s">
        <v>1584</v>
      </c>
      <c r="G581" t="s">
        <v>1585</v>
      </c>
      <c r="H581" t="s">
        <v>1579</v>
      </c>
    </row>
    <row r="582" spans="1:8" x14ac:dyDescent="0.25">
      <c r="A582" t="s">
        <v>2106</v>
      </c>
      <c r="B582" t="str">
        <f>VLOOKUP(D582,pgc_pyme!J:M,4,FALSE)</f>
        <v>Pérdidas por Deterioro y Otras Dotaciones</v>
      </c>
      <c r="C582" t="s">
        <v>2300</v>
      </c>
      <c r="D582" t="s">
        <v>2297</v>
      </c>
      <c r="E582">
        <v>1</v>
      </c>
      <c r="F582" t="s">
        <v>1584</v>
      </c>
      <c r="G582" t="s">
        <v>1585</v>
      </c>
      <c r="H582" t="s">
        <v>1579</v>
      </c>
    </row>
    <row r="583" spans="1:8" x14ac:dyDescent="0.25">
      <c r="A583" t="s">
        <v>2107</v>
      </c>
      <c r="B583" t="str">
        <f>VLOOKUP(D583,pgc_pyme!J:M,4,FALSE)</f>
        <v>Pérdidas por deterioro de participaciones y valores representativos de deuda a largo plazo</v>
      </c>
      <c r="C583" t="s">
        <v>2443</v>
      </c>
      <c r="D583" t="s">
        <v>2300</v>
      </c>
      <c r="E583">
        <v>0</v>
      </c>
      <c r="F583" t="s">
        <v>1584</v>
      </c>
      <c r="G583" t="s">
        <v>1585</v>
      </c>
      <c r="H583" t="s">
        <v>1579</v>
      </c>
    </row>
    <row r="584" spans="1:8" x14ac:dyDescent="0.25">
      <c r="A584" t="s">
        <v>2108</v>
      </c>
      <c r="B584" t="str">
        <f>VLOOKUP(D584,pgc_pyme!J:M,4,FALSE)</f>
        <v>Pérdidas por deterioro de participaciones y valores representativos de deuda a largo plazo</v>
      </c>
      <c r="C584" t="s">
        <v>2444</v>
      </c>
      <c r="D584" t="s">
        <v>2300</v>
      </c>
      <c r="E584">
        <v>0</v>
      </c>
      <c r="F584" t="s">
        <v>1584</v>
      </c>
      <c r="G584" t="s">
        <v>1585</v>
      </c>
      <c r="H584" t="s">
        <v>1579</v>
      </c>
    </row>
    <row r="585" spans="1:8" x14ac:dyDescent="0.25">
      <c r="A585" t="s">
        <v>2109</v>
      </c>
      <c r="B585" t="str">
        <f>VLOOKUP(D585,pgc_pyme!J:M,4,FALSE)</f>
        <v>Pérdidas por deterioro de participaciones y valores representativos de deuda a largo plazo</v>
      </c>
      <c r="C585" t="s">
        <v>2445</v>
      </c>
      <c r="D585" t="s">
        <v>2300</v>
      </c>
      <c r="E585">
        <v>0</v>
      </c>
      <c r="F585" t="s">
        <v>1584</v>
      </c>
      <c r="G585" t="s">
        <v>1585</v>
      </c>
      <c r="H585" t="s">
        <v>1579</v>
      </c>
    </row>
    <row r="586" spans="1:8" x14ac:dyDescent="0.25">
      <c r="A586" t="s">
        <v>2110</v>
      </c>
      <c r="B586" t="str">
        <f>VLOOKUP(D586,pgc_pyme!J:M,4,FALSE)</f>
        <v>Pérdidas por deterioro de participaciones y valores representativos de deuda a largo plazo</v>
      </c>
      <c r="C586" t="s">
        <v>2446</v>
      </c>
      <c r="D586" t="s">
        <v>2300</v>
      </c>
      <c r="E586">
        <v>0</v>
      </c>
      <c r="F586" t="s">
        <v>1584</v>
      </c>
      <c r="G586" t="s">
        <v>1585</v>
      </c>
      <c r="H586" t="s">
        <v>1579</v>
      </c>
    </row>
    <row r="587" spans="1:8" x14ac:dyDescent="0.25">
      <c r="A587" t="s">
        <v>2111</v>
      </c>
      <c r="B587" t="str">
        <f>VLOOKUP(D587,pgc_pyme!J:M,4,FALSE)</f>
        <v>Pérdidas por deterioro de participaciones y valores representativos de deuda a largo plazo</v>
      </c>
      <c r="C587" t="s">
        <v>2447</v>
      </c>
      <c r="D587" t="s">
        <v>2300</v>
      </c>
      <c r="E587">
        <v>0</v>
      </c>
      <c r="F587" t="s">
        <v>1584</v>
      </c>
      <c r="G587" t="s">
        <v>1585</v>
      </c>
      <c r="H587" t="s">
        <v>1579</v>
      </c>
    </row>
    <row r="588" spans="1:8" x14ac:dyDescent="0.25">
      <c r="A588" t="s">
        <v>2112</v>
      </c>
      <c r="B588" t="str">
        <f>VLOOKUP(D588,pgc_pyme!J:M,4,FALSE)</f>
        <v>Pérdidas por deterioro de participaciones y valores representativos de deuda a largo plazo</v>
      </c>
      <c r="C588" t="s">
        <v>2448</v>
      </c>
      <c r="D588" t="s">
        <v>2300</v>
      </c>
      <c r="E588">
        <v>0</v>
      </c>
      <c r="F588" t="s">
        <v>1584</v>
      </c>
      <c r="G588" t="s">
        <v>1585</v>
      </c>
      <c r="H588" t="s">
        <v>1579</v>
      </c>
    </row>
    <row r="589" spans="1:8" x14ac:dyDescent="0.25">
      <c r="A589" t="s">
        <v>2113</v>
      </c>
      <c r="B589" t="str">
        <f>VLOOKUP(D589,pgc_pyme!J:M,4,FALSE)</f>
        <v>Pérdidas por deterioro de participaciones y valores representativos de deuda a largo plazo</v>
      </c>
      <c r="C589" t="s">
        <v>2449</v>
      </c>
      <c r="D589" t="s">
        <v>2300</v>
      </c>
      <c r="E589">
        <v>0</v>
      </c>
      <c r="F589" t="s">
        <v>1584</v>
      </c>
      <c r="G589" t="s">
        <v>1585</v>
      </c>
      <c r="H589" t="s">
        <v>1579</v>
      </c>
    </row>
    <row r="590" spans="1:8" x14ac:dyDescent="0.25">
      <c r="A590" t="s">
        <v>2114</v>
      </c>
      <c r="B590" t="str">
        <f>VLOOKUP(D590,pgc_pyme!J:M,4,FALSE)</f>
        <v>Pérdidas por deterioro de participaciones y valores representativos de deuda a largo plazo</v>
      </c>
      <c r="C590" t="s">
        <v>2450</v>
      </c>
      <c r="D590" t="s">
        <v>2300</v>
      </c>
      <c r="E590">
        <v>0</v>
      </c>
      <c r="F590" t="s">
        <v>1584</v>
      </c>
      <c r="G590" t="s">
        <v>1585</v>
      </c>
      <c r="H590" t="s">
        <v>1579</v>
      </c>
    </row>
    <row r="591" spans="1:8" x14ac:dyDescent="0.25">
      <c r="A591" t="s">
        <v>2115</v>
      </c>
      <c r="B591" t="str">
        <f>VLOOKUP(D591,pgc_pyme!J:M,4,FALSE)</f>
        <v>Pérdidas por Deterioro y Otras Dotaciones</v>
      </c>
      <c r="C591" t="s">
        <v>2301</v>
      </c>
      <c r="D591" t="s">
        <v>2297</v>
      </c>
      <c r="E591">
        <v>1</v>
      </c>
      <c r="F591" t="s">
        <v>1584</v>
      </c>
      <c r="G591" t="s">
        <v>1585</v>
      </c>
      <c r="H591" t="s">
        <v>1579</v>
      </c>
    </row>
    <row r="592" spans="1:8" x14ac:dyDescent="0.25">
      <c r="A592" t="s">
        <v>2116</v>
      </c>
      <c r="B592" t="str">
        <f>VLOOKUP(D592,pgc_pyme!J:M,4,FALSE)</f>
        <v>Pérdidas por deterioro de créditos a largo plazo</v>
      </c>
      <c r="C592" t="s">
        <v>2451</v>
      </c>
      <c r="D592" t="s">
        <v>2301</v>
      </c>
      <c r="E592">
        <v>0</v>
      </c>
      <c r="F592" t="s">
        <v>1584</v>
      </c>
      <c r="G592" t="s">
        <v>1585</v>
      </c>
      <c r="H592" t="s">
        <v>1579</v>
      </c>
    </row>
    <row r="593" spans="1:8" x14ac:dyDescent="0.25">
      <c r="A593" t="s">
        <v>2117</v>
      </c>
      <c r="B593" t="str">
        <f>VLOOKUP(D593,pgc_pyme!J:M,4,FALSE)</f>
        <v>Pérdidas por deterioro de créditos a largo plazo</v>
      </c>
      <c r="C593" t="s">
        <v>2452</v>
      </c>
      <c r="D593" t="s">
        <v>2301</v>
      </c>
      <c r="E593">
        <v>0</v>
      </c>
      <c r="F593" t="s">
        <v>1584</v>
      </c>
      <c r="G593" t="s">
        <v>1585</v>
      </c>
      <c r="H593" t="s">
        <v>1579</v>
      </c>
    </row>
    <row r="594" spans="1:8" x14ac:dyDescent="0.25">
      <c r="A594" t="s">
        <v>2118</v>
      </c>
      <c r="B594" t="str">
        <f>VLOOKUP(D594,pgc_pyme!J:M,4,FALSE)</f>
        <v>Pérdidas por deterioro de créditos a largo plazo</v>
      </c>
      <c r="C594" t="s">
        <v>2453</v>
      </c>
      <c r="D594" t="s">
        <v>2301</v>
      </c>
      <c r="E594">
        <v>0</v>
      </c>
      <c r="F594" t="s">
        <v>1584</v>
      </c>
      <c r="G594" t="s">
        <v>1585</v>
      </c>
      <c r="H594" t="s">
        <v>1579</v>
      </c>
    </row>
    <row r="595" spans="1:8" x14ac:dyDescent="0.25">
      <c r="A595" t="s">
        <v>2119</v>
      </c>
      <c r="B595" t="str">
        <f>VLOOKUP(D595,pgc_pyme!J:M,4,FALSE)</f>
        <v>Pérdidas por deterioro de créditos a largo plazo</v>
      </c>
      <c r="C595" t="s">
        <v>2454</v>
      </c>
      <c r="D595" t="s">
        <v>2301</v>
      </c>
      <c r="E595">
        <v>0</v>
      </c>
      <c r="F595" t="s">
        <v>1584</v>
      </c>
      <c r="G595" t="s">
        <v>1585</v>
      </c>
      <c r="H595" t="s">
        <v>1579</v>
      </c>
    </row>
    <row r="596" spans="1:8" x14ac:dyDescent="0.25">
      <c r="A596" t="s">
        <v>2120</v>
      </c>
      <c r="B596" t="str">
        <f>VLOOKUP(D596,pgc_pyme!J:M,4,FALSE)</f>
        <v>Pérdidas por Deterioro y Otras Dotaciones</v>
      </c>
      <c r="C596" t="s">
        <v>2302</v>
      </c>
      <c r="D596" t="s">
        <v>2297</v>
      </c>
      <c r="E596">
        <v>1</v>
      </c>
      <c r="F596" t="s">
        <v>1584</v>
      </c>
      <c r="G596" t="s">
        <v>1585</v>
      </c>
      <c r="H596" t="s">
        <v>1579</v>
      </c>
    </row>
    <row r="597" spans="1:8" x14ac:dyDescent="0.25">
      <c r="A597" t="s">
        <v>2121</v>
      </c>
      <c r="B597" t="str">
        <f>VLOOKUP(D597,pgc_pyme!J:M,4,FALSE)</f>
        <v>Pérdidas por deterioro de participaciones y valores representativos de deuda a corto plazo</v>
      </c>
      <c r="C597" t="s">
        <v>2455</v>
      </c>
      <c r="D597" t="s">
        <v>2302</v>
      </c>
      <c r="E597">
        <v>0</v>
      </c>
      <c r="F597" t="s">
        <v>1584</v>
      </c>
      <c r="G597" t="s">
        <v>1585</v>
      </c>
      <c r="H597" t="s">
        <v>1579</v>
      </c>
    </row>
    <row r="598" spans="1:8" x14ac:dyDescent="0.25">
      <c r="A598" t="s">
        <v>2122</v>
      </c>
      <c r="B598" t="str">
        <f>VLOOKUP(D598,pgc_pyme!J:M,4,FALSE)</f>
        <v>Pérdidas por deterioro de participaciones y valores representativos de deuda a corto plazo</v>
      </c>
      <c r="C598" t="s">
        <v>2456</v>
      </c>
      <c r="D598" t="s">
        <v>2302</v>
      </c>
      <c r="E598">
        <v>0</v>
      </c>
      <c r="F598" t="s">
        <v>1584</v>
      </c>
      <c r="G598" t="s">
        <v>1585</v>
      </c>
      <c r="H598" t="s">
        <v>1579</v>
      </c>
    </row>
    <row r="599" spans="1:8" x14ac:dyDescent="0.25">
      <c r="A599" t="s">
        <v>2123</v>
      </c>
      <c r="B599" t="str">
        <f>VLOOKUP(D599,pgc_pyme!J:M,4,FALSE)</f>
        <v>Pérdidas por deterioro de participaciones y valores representativos de deuda a corto plazo</v>
      </c>
      <c r="C599" t="s">
        <v>2457</v>
      </c>
      <c r="D599" t="s">
        <v>2302</v>
      </c>
      <c r="E599">
        <v>0</v>
      </c>
      <c r="F599" t="s">
        <v>1584</v>
      </c>
      <c r="G599" t="s">
        <v>1585</v>
      </c>
      <c r="H599" t="s">
        <v>1579</v>
      </c>
    </row>
    <row r="600" spans="1:8" x14ac:dyDescent="0.25">
      <c r="A600" t="s">
        <v>2124</v>
      </c>
      <c r="B600" t="str">
        <f>VLOOKUP(D600,pgc_pyme!J:M,4,FALSE)</f>
        <v>Pérdidas por deterioro de participaciones y valores representativos de deuda a corto plazo</v>
      </c>
      <c r="C600" t="s">
        <v>2458</v>
      </c>
      <c r="D600" t="s">
        <v>2302</v>
      </c>
      <c r="E600">
        <v>0</v>
      </c>
      <c r="F600" t="s">
        <v>1584</v>
      </c>
      <c r="G600" t="s">
        <v>1585</v>
      </c>
      <c r="H600" t="s">
        <v>1579</v>
      </c>
    </row>
    <row r="601" spans="1:8" x14ac:dyDescent="0.25">
      <c r="A601" t="s">
        <v>2125</v>
      </c>
      <c r="B601" t="str">
        <f>VLOOKUP(D601,pgc_pyme!J:M,4,FALSE)</f>
        <v>Pérdidas por deterioro de participaciones y valores representativos de deuda a corto plazo</v>
      </c>
      <c r="C601" t="s">
        <v>2459</v>
      </c>
      <c r="D601" t="s">
        <v>2302</v>
      </c>
      <c r="E601">
        <v>0</v>
      </c>
      <c r="F601" t="s">
        <v>1584</v>
      </c>
      <c r="G601" t="s">
        <v>1585</v>
      </c>
      <c r="H601" t="s">
        <v>1579</v>
      </c>
    </row>
    <row r="602" spans="1:8" x14ac:dyDescent="0.25">
      <c r="A602" t="s">
        <v>2126</v>
      </c>
      <c r="B602" t="str">
        <f>VLOOKUP(D602,pgc_pyme!J:M,4,FALSE)</f>
        <v>Pérdidas por deterioro de participaciones y valores representativos de deuda a corto plazo</v>
      </c>
      <c r="C602" t="s">
        <v>2460</v>
      </c>
      <c r="D602" t="s">
        <v>2302</v>
      </c>
      <c r="E602">
        <v>0</v>
      </c>
      <c r="F602" t="s">
        <v>1584</v>
      </c>
      <c r="G602" t="s">
        <v>1585</v>
      </c>
      <c r="H602" t="s">
        <v>1579</v>
      </c>
    </row>
    <row r="603" spans="1:8" x14ac:dyDescent="0.25">
      <c r="A603" t="s">
        <v>2127</v>
      </c>
      <c r="B603" t="str">
        <f>VLOOKUP(D603,pgc_pyme!J:M,4,FALSE)</f>
        <v>Pérdidas por Deterioro y Otras Dotaciones</v>
      </c>
      <c r="C603" t="s">
        <v>2303</v>
      </c>
      <c r="D603" t="s">
        <v>2297</v>
      </c>
      <c r="E603">
        <v>1</v>
      </c>
      <c r="F603" t="s">
        <v>1584</v>
      </c>
      <c r="G603" t="s">
        <v>1585</v>
      </c>
      <c r="H603" t="s">
        <v>1579</v>
      </c>
    </row>
    <row r="604" spans="1:8" x14ac:dyDescent="0.25">
      <c r="A604" t="s">
        <v>2128</v>
      </c>
      <c r="B604" t="str">
        <f>VLOOKUP(D604,pgc_pyme!J:M,4,FALSE)</f>
        <v>Pérdidas por deterioro de créditos a corto plazo</v>
      </c>
      <c r="C604" t="s">
        <v>2461</v>
      </c>
      <c r="D604" t="s">
        <v>2303</v>
      </c>
      <c r="E604">
        <v>0</v>
      </c>
      <c r="F604" t="s">
        <v>1584</v>
      </c>
      <c r="G604" t="s">
        <v>1585</v>
      </c>
      <c r="H604" t="s">
        <v>1579</v>
      </c>
    </row>
    <row r="605" spans="1:8" x14ac:dyDescent="0.25">
      <c r="A605" t="s">
        <v>2129</v>
      </c>
      <c r="B605" t="str">
        <f>VLOOKUP(D605,pgc_pyme!J:M,4,FALSE)</f>
        <v>Pérdidas por deterioro de créditos a corto plazo</v>
      </c>
      <c r="C605" t="s">
        <v>2462</v>
      </c>
      <c r="D605" t="s">
        <v>2303</v>
      </c>
      <c r="E605">
        <v>0</v>
      </c>
      <c r="F605" t="s">
        <v>1584</v>
      </c>
      <c r="G605" t="s">
        <v>1585</v>
      </c>
      <c r="H605" t="s">
        <v>1579</v>
      </c>
    </row>
    <row r="606" spans="1:8" x14ac:dyDescent="0.25">
      <c r="A606" t="s">
        <v>2130</v>
      </c>
      <c r="B606" t="str">
        <f>VLOOKUP(D606,pgc_pyme!J:M,4,FALSE)</f>
        <v>Pérdidas por deterioro de créditos a corto plazo</v>
      </c>
      <c r="C606" t="s">
        <v>2463</v>
      </c>
      <c r="D606" t="s">
        <v>2303</v>
      </c>
      <c r="E606">
        <v>0</v>
      </c>
      <c r="F606" t="s">
        <v>1584</v>
      </c>
      <c r="G606" t="s">
        <v>1585</v>
      </c>
      <c r="H606" t="s">
        <v>1579</v>
      </c>
    </row>
    <row r="607" spans="1:8" x14ac:dyDescent="0.25">
      <c r="A607" t="s">
        <v>2131</v>
      </c>
      <c r="B607" t="str">
        <f>VLOOKUP(D607,pgc_pyme!J:M,4,FALSE)</f>
        <v>Pérdidas por deterioro de créditos a corto plazo</v>
      </c>
      <c r="C607" t="s">
        <v>2464</v>
      </c>
      <c r="D607" t="s">
        <v>2303</v>
      </c>
      <c r="E607">
        <v>0</v>
      </c>
      <c r="F607" t="s">
        <v>1584</v>
      </c>
      <c r="G607" t="s">
        <v>1585</v>
      </c>
      <c r="H607" t="s">
        <v>1579</v>
      </c>
    </row>
    <row r="608" spans="1:8" x14ac:dyDescent="0.25">
      <c r="A608" t="s">
        <v>3087</v>
      </c>
      <c r="B608" t="str">
        <f>VLOOKUP(D608,pgc_pyme!J:M,4,FALSE)</f>
        <v>INGRESOS</v>
      </c>
      <c r="C608" t="s">
        <v>2304</v>
      </c>
      <c r="D608" t="s">
        <v>2267</v>
      </c>
      <c r="E608">
        <v>1</v>
      </c>
      <c r="F608" t="s">
        <v>1587</v>
      </c>
      <c r="G608" t="s">
        <v>1586</v>
      </c>
      <c r="H608" t="s">
        <v>1579</v>
      </c>
    </row>
    <row r="609" spans="1:8" x14ac:dyDescent="0.25">
      <c r="A609" t="s">
        <v>2132</v>
      </c>
      <c r="B609" t="str">
        <f>VLOOKUP(D609,pgc_pyme!J:M,4,FALSE)</f>
        <v>Ventas de Mercaderías, de Producción Propia, De Servicios, etc</v>
      </c>
      <c r="C609" t="s">
        <v>2465</v>
      </c>
      <c r="D609" t="s">
        <v>2304</v>
      </c>
      <c r="E609">
        <v>0</v>
      </c>
      <c r="F609" t="s">
        <v>1587</v>
      </c>
      <c r="G609" t="s">
        <v>1586</v>
      </c>
      <c r="H609" t="s">
        <v>1579</v>
      </c>
    </row>
    <row r="610" spans="1:8" x14ac:dyDescent="0.25">
      <c r="A610" t="s">
        <v>2133</v>
      </c>
      <c r="B610" t="str">
        <f>VLOOKUP(D610,pgc_pyme!J:M,4,FALSE)</f>
        <v>Ventas de Mercaderías, de Producción Propia, De Servicios, etc</v>
      </c>
      <c r="C610" t="s">
        <v>2466</v>
      </c>
      <c r="D610" t="s">
        <v>2304</v>
      </c>
      <c r="E610">
        <v>0</v>
      </c>
      <c r="F610" t="s">
        <v>1587</v>
      </c>
      <c r="G610" t="s">
        <v>1586</v>
      </c>
      <c r="H610" t="s">
        <v>1579</v>
      </c>
    </row>
    <row r="611" spans="1:8" x14ac:dyDescent="0.25">
      <c r="A611" t="s">
        <v>2134</v>
      </c>
      <c r="B611" t="str">
        <f>VLOOKUP(D611,pgc_pyme!J:M,4,FALSE)</f>
        <v>Ventas de Mercaderías, de Producción Propia, De Servicios, etc</v>
      </c>
      <c r="C611" t="s">
        <v>2467</v>
      </c>
      <c r="D611" t="s">
        <v>2304</v>
      </c>
      <c r="E611">
        <v>0</v>
      </c>
      <c r="F611" t="s">
        <v>1587</v>
      </c>
      <c r="G611" t="s">
        <v>1586</v>
      </c>
      <c r="H611" t="s">
        <v>1579</v>
      </c>
    </row>
    <row r="612" spans="1:8" x14ac:dyDescent="0.25">
      <c r="A612" t="s">
        <v>2135</v>
      </c>
      <c r="B612" t="str">
        <f>VLOOKUP(D612,pgc_pyme!J:M,4,FALSE)</f>
        <v>Ventas de Mercaderías, de Producción Propia, De Servicios, etc</v>
      </c>
      <c r="C612" t="s">
        <v>2468</v>
      </c>
      <c r="D612" t="s">
        <v>2304</v>
      </c>
      <c r="E612">
        <v>0</v>
      </c>
      <c r="F612" t="s">
        <v>1587</v>
      </c>
      <c r="G612" t="s">
        <v>1586</v>
      </c>
      <c r="H612" t="s">
        <v>1579</v>
      </c>
    </row>
    <row r="613" spans="1:8" x14ac:dyDescent="0.25">
      <c r="A613" t="s">
        <v>2136</v>
      </c>
      <c r="B613" t="str">
        <f>VLOOKUP(D613,pgc_pyme!J:M,4,FALSE)</f>
        <v>Ventas de Mercaderías, de Producción Propia, De Servicios, etc</v>
      </c>
      <c r="C613" t="s">
        <v>2469</v>
      </c>
      <c r="D613" t="s">
        <v>2304</v>
      </c>
      <c r="E613">
        <v>0</v>
      </c>
      <c r="F613" t="s">
        <v>1587</v>
      </c>
      <c r="G613" t="s">
        <v>1586</v>
      </c>
      <c r="H613" t="s">
        <v>1579</v>
      </c>
    </row>
    <row r="614" spans="1:8" x14ac:dyDescent="0.25">
      <c r="A614" t="s">
        <v>2137</v>
      </c>
      <c r="B614" t="str">
        <f>VLOOKUP(D614,pgc_pyme!J:M,4,FALSE)</f>
        <v>Ventas de Mercaderías, de Producción Propia, De Servicios, etc</v>
      </c>
      <c r="C614" t="s">
        <v>2470</v>
      </c>
      <c r="D614" t="s">
        <v>2304</v>
      </c>
      <c r="E614">
        <v>0</v>
      </c>
      <c r="F614" t="s">
        <v>1587</v>
      </c>
      <c r="G614" t="s">
        <v>1586</v>
      </c>
      <c r="H614" t="s">
        <v>1579</v>
      </c>
    </row>
    <row r="615" spans="1:8" x14ac:dyDescent="0.25">
      <c r="A615" t="s">
        <v>2138</v>
      </c>
      <c r="B615" t="str">
        <f>VLOOKUP(D615,pgc_pyme!J:M,4,FALSE)</f>
        <v>Ventas de Mercaderías, de Producción Propia, De Servicios, etc</v>
      </c>
      <c r="C615" t="s">
        <v>2305</v>
      </c>
      <c r="D615" t="s">
        <v>2304</v>
      </c>
      <c r="E615">
        <v>1</v>
      </c>
      <c r="F615" t="s">
        <v>1587</v>
      </c>
      <c r="G615" t="s">
        <v>1586</v>
      </c>
      <c r="H615" t="s">
        <v>1579</v>
      </c>
    </row>
    <row r="616" spans="1:8" x14ac:dyDescent="0.25">
      <c r="A616" t="s">
        <v>2139</v>
      </c>
      <c r="B616" t="str">
        <f>VLOOKUP(D616,pgc_pyme!J:M,4,FALSE)</f>
        <v>Descuentos sobre ventas por pronto pago</v>
      </c>
      <c r="C616" t="s">
        <v>2471</v>
      </c>
      <c r="D616" t="s">
        <v>2305</v>
      </c>
      <c r="E616">
        <v>0</v>
      </c>
      <c r="F616" t="s">
        <v>1587</v>
      </c>
      <c r="G616" t="s">
        <v>1586</v>
      </c>
      <c r="H616" t="s">
        <v>1579</v>
      </c>
    </row>
    <row r="617" spans="1:8" x14ac:dyDescent="0.25">
      <c r="A617" t="s">
        <v>2140</v>
      </c>
      <c r="B617" t="str">
        <f>VLOOKUP(D617,pgc_pyme!J:M,4,FALSE)</f>
        <v>Descuentos sobre ventas por pronto pago</v>
      </c>
      <c r="C617" t="s">
        <v>2472</v>
      </c>
      <c r="D617" t="s">
        <v>2305</v>
      </c>
      <c r="E617">
        <v>0</v>
      </c>
      <c r="F617" t="s">
        <v>1587</v>
      </c>
      <c r="G617" t="s">
        <v>1586</v>
      </c>
      <c r="H617" t="s">
        <v>1579</v>
      </c>
    </row>
    <row r="618" spans="1:8" x14ac:dyDescent="0.25">
      <c r="A618" t="s">
        <v>2141</v>
      </c>
      <c r="B618" t="str">
        <f>VLOOKUP(D618,pgc_pyme!J:M,4,FALSE)</f>
        <v>Descuentos sobre ventas por pronto pago</v>
      </c>
      <c r="C618" t="s">
        <v>2473</v>
      </c>
      <c r="D618" t="s">
        <v>2305</v>
      </c>
      <c r="E618">
        <v>0</v>
      </c>
      <c r="F618" t="s">
        <v>1587</v>
      </c>
      <c r="G618" t="s">
        <v>1586</v>
      </c>
      <c r="H618" t="s">
        <v>1579</v>
      </c>
    </row>
    <row r="619" spans="1:8" x14ac:dyDescent="0.25">
      <c r="A619" t="s">
        <v>2142</v>
      </c>
      <c r="B619" t="str">
        <f>VLOOKUP(D619,pgc_pyme!J:M,4,FALSE)</f>
        <v>Descuentos sobre ventas por pronto pago</v>
      </c>
      <c r="C619" t="s">
        <v>2474</v>
      </c>
      <c r="D619" t="s">
        <v>2305</v>
      </c>
      <c r="E619">
        <v>0</v>
      </c>
      <c r="F619" t="s">
        <v>1587</v>
      </c>
      <c r="G619" t="s">
        <v>1586</v>
      </c>
      <c r="H619" t="s">
        <v>1579</v>
      </c>
    </row>
    <row r="620" spans="1:8" x14ac:dyDescent="0.25">
      <c r="A620" t="s">
        <v>2143</v>
      </c>
      <c r="B620" t="str">
        <f>VLOOKUP(D620,pgc_pyme!J:M,4,FALSE)</f>
        <v>Ventas de Mercaderías, de Producción Propia, De Servicios, etc</v>
      </c>
      <c r="C620" t="s">
        <v>2306</v>
      </c>
      <c r="D620" t="s">
        <v>2304</v>
      </c>
      <c r="E620">
        <v>1</v>
      </c>
      <c r="F620" t="s">
        <v>1587</v>
      </c>
      <c r="G620" t="s">
        <v>1586</v>
      </c>
      <c r="H620" t="s">
        <v>1579</v>
      </c>
    </row>
    <row r="621" spans="1:8" x14ac:dyDescent="0.25">
      <c r="A621" t="s">
        <v>2144</v>
      </c>
      <c r="B621" t="str">
        <f>VLOOKUP(D621,pgc_pyme!J:M,4,FALSE)</f>
        <v>Devoluciones de ventas y operaciones similares</v>
      </c>
      <c r="C621" t="s">
        <v>2475</v>
      </c>
      <c r="D621" t="s">
        <v>2306</v>
      </c>
      <c r="E621">
        <v>0</v>
      </c>
      <c r="F621" t="s">
        <v>1587</v>
      </c>
      <c r="G621" t="s">
        <v>1586</v>
      </c>
      <c r="H621" t="s">
        <v>1579</v>
      </c>
    </row>
    <row r="622" spans="1:8" x14ac:dyDescent="0.25">
      <c r="A622" t="s">
        <v>2145</v>
      </c>
      <c r="B622" t="str">
        <f>VLOOKUP(D622,pgc_pyme!J:M,4,FALSE)</f>
        <v>Devoluciones de ventas y operaciones similares</v>
      </c>
      <c r="C622" t="s">
        <v>2476</v>
      </c>
      <c r="D622" t="s">
        <v>2306</v>
      </c>
      <c r="E622">
        <v>0</v>
      </c>
      <c r="F622" t="s">
        <v>1587</v>
      </c>
      <c r="G622" t="s">
        <v>1586</v>
      </c>
      <c r="H622" t="s">
        <v>1579</v>
      </c>
    </row>
    <row r="623" spans="1:8" x14ac:dyDescent="0.25">
      <c r="A623" t="s">
        <v>2146</v>
      </c>
      <c r="B623" t="str">
        <f>VLOOKUP(D623,pgc_pyme!J:M,4,FALSE)</f>
        <v>Devoluciones de ventas y operaciones similares</v>
      </c>
      <c r="C623" t="s">
        <v>2477</v>
      </c>
      <c r="D623" t="s">
        <v>2306</v>
      </c>
      <c r="E623">
        <v>0</v>
      </c>
      <c r="F623" t="s">
        <v>1587</v>
      </c>
      <c r="G623" t="s">
        <v>1586</v>
      </c>
      <c r="H623" t="s">
        <v>1579</v>
      </c>
    </row>
    <row r="624" spans="1:8" x14ac:dyDescent="0.25">
      <c r="A624" t="s">
        <v>2147</v>
      </c>
      <c r="B624" t="str">
        <f>VLOOKUP(D624,pgc_pyme!J:M,4,FALSE)</f>
        <v>Devoluciones de ventas y operaciones similares</v>
      </c>
      <c r="C624" t="s">
        <v>2478</v>
      </c>
      <c r="D624" t="s">
        <v>2306</v>
      </c>
      <c r="E624">
        <v>0</v>
      </c>
      <c r="F624" t="s">
        <v>1587</v>
      </c>
      <c r="G624" t="s">
        <v>1586</v>
      </c>
      <c r="H624" t="s">
        <v>1579</v>
      </c>
    </row>
    <row r="625" spans="1:8" x14ac:dyDescent="0.25">
      <c r="A625" t="s">
        <v>2148</v>
      </c>
      <c r="B625" t="str">
        <f>VLOOKUP(D625,pgc_pyme!J:M,4,FALSE)</f>
        <v>Devoluciones de ventas y operaciones similares</v>
      </c>
      <c r="C625" t="s">
        <v>2479</v>
      </c>
      <c r="D625" t="s">
        <v>2306</v>
      </c>
      <c r="E625">
        <v>0</v>
      </c>
      <c r="F625" t="s">
        <v>1587</v>
      </c>
      <c r="G625" t="s">
        <v>1586</v>
      </c>
      <c r="H625" t="s">
        <v>1579</v>
      </c>
    </row>
    <row r="626" spans="1:8" x14ac:dyDescent="0.25">
      <c r="A626" t="s">
        <v>2149</v>
      </c>
      <c r="B626" t="str">
        <f>VLOOKUP(D626,pgc_pyme!J:M,4,FALSE)</f>
        <v>Ventas de Mercaderías, de Producción Propia, De Servicios, etc</v>
      </c>
      <c r="C626" t="s">
        <v>2307</v>
      </c>
      <c r="D626" t="s">
        <v>2304</v>
      </c>
      <c r="E626">
        <v>1</v>
      </c>
      <c r="F626" t="s">
        <v>1587</v>
      </c>
      <c r="G626" t="s">
        <v>1586</v>
      </c>
      <c r="H626" t="s">
        <v>1579</v>
      </c>
    </row>
    <row r="627" spans="1:8" x14ac:dyDescent="0.25">
      <c r="A627" t="s">
        <v>2150</v>
      </c>
      <c r="B627" t="str">
        <f>VLOOKUP(D627,pgc_pyme!J:M,4,FALSE)</f>
        <v>“Rappels” sobre ventas</v>
      </c>
      <c r="C627" t="s">
        <v>2480</v>
      </c>
      <c r="D627" t="s">
        <v>2307</v>
      </c>
      <c r="E627">
        <v>0</v>
      </c>
      <c r="F627" t="s">
        <v>1587</v>
      </c>
      <c r="G627" t="s">
        <v>1586</v>
      </c>
      <c r="H627" t="s">
        <v>1579</v>
      </c>
    </row>
    <row r="628" spans="1:8" x14ac:dyDescent="0.25">
      <c r="A628" t="s">
        <v>2151</v>
      </c>
      <c r="B628" t="str">
        <f>VLOOKUP(D628,pgc_pyme!J:M,4,FALSE)</f>
        <v>“Rappels” sobre ventas</v>
      </c>
      <c r="C628" t="s">
        <v>2481</v>
      </c>
      <c r="D628" t="s">
        <v>2307</v>
      </c>
      <c r="E628">
        <v>0</v>
      </c>
      <c r="F628" t="s">
        <v>1587</v>
      </c>
      <c r="G628" t="s">
        <v>1586</v>
      </c>
      <c r="H628" t="s">
        <v>1579</v>
      </c>
    </row>
    <row r="629" spans="1:8" x14ac:dyDescent="0.25">
      <c r="A629" t="s">
        <v>2152</v>
      </c>
      <c r="B629" t="str">
        <f>VLOOKUP(D629,pgc_pyme!J:M,4,FALSE)</f>
        <v>“Rappels” sobre ventas</v>
      </c>
      <c r="C629" t="s">
        <v>2482</v>
      </c>
      <c r="D629" t="s">
        <v>2307</v>
      </c>
      <c r="E629">
        <v>0</v>
      </c>
      <c r="F629" t="s">
        <v>1587</v>
      </c>
      <c r="G629" t="s">
        <v>1586</v>
      </c>
      <c r="H629" t="s">
        <v>1579</v>
      </c>
    </row>
    <row r="630" spans="1:8" x14ac:dyDescent="0.25">
      <c r="A630" t="s">
        <v>2153</v>
      </c>
      <c r="B630" t="str">
        <f>VLOOKUP(D630,pgc_pyme!J:M,4,FALSE)</f>
        <v>“Rappels” sobre ventas</v>
      </c>
      <c r="C630" t="s">
        <v>2483</v>
      </c>
      <c r="D630" t="s">
        <v>2307</v>
      </c>
      <c r="E630">
        <v>0</v>
      </c>
      <c r="F630" t="s">
        <v>1587</v>
      </c>
      <c r="G630" t="s">
        <v>1586</v>
      </c>
      <c r="H630" t="s">
        <v>1579</v>
      </c>
    </row>
    <row r="631" spans="1:8" x14ac:dyDescent="0.25">
      <c r="A631" t="s">
        <v>2154</v>
      </c>
      <c r="B631" t="str">
        <f>VLOOKUP(D631,pgc_pyme!J:M,4,FALSE)</f>
        <v>“Rappels” sobre ventas</v>
      </c>
      <c r="C631" t="s">
        <v>2484</v>
      </c>
      <c r="D631" t="s">
        <v>2307</v>
      </c>
      <c r="E631">
        <v>0</v>
      </c>
      <c r="F631" t="s">
        <v>1587</v>
      </c>
      <c r="G631" t="s">
        <v>1586</v>
      </c>
      <c r="H631" t="s">
        <v>1579</v>
      </c>
    </row>
    <row r="632" spans="1:8" x14ac:dyDescent="0.25">
      <c r="A632" t="s">
        <v>3066</v>
      </c>
      <c r="B632" t="str">
        <f>VLOOKUP(D632,pgc_pyme!J:M,4,FALSE)</f>
        <v>INGRESOS</v>
      </c>
      <c r="C632" t="s">
        <v>2308</v>
      </c>
      <c r="D632" t="s">
        <v>2267</v>
      </c>
      <c r="E632">
        <v>1</v>
      </c>
      <c r="F632" t="s">
        <v>1587</v>
      </c>
      <c r="G632" t="s">
        <v>1586</v>
      </c>
      <c r="H632" t="s">
        <v>1579</v>
      </c>
    </row>
    <row r="633" spans="1:8" x14ac:dyDescent="0.25">
      <c r="A633" t="s">
        <v>2155</v>
      </c>
      <c r="B633" t="str">
        <f>VLOOKUP(D633,pgc_pyme!J:M,4,FALSE)</f>
        <v>Variación de Existencias</v>
      </c>
      <c r="C633" t="s">
        <v>2485</v>
      </c>
      <c r="D633" t="s">
        <v>2308</v>
      </c>
      <c r="E633">
        <v>0</v>
      </c>
      <c r="F633" t="s">
        <v>1587</v>
      </c>
      <c r="G633" t="s">
        <v>1586</v>
      </c>
      <c r="H633" t="s">
        <v>1579</v>
      </c>
    </row>
    <row r="634" spans="1:8" x14ac:dyDescent="0.25">
      <c r="A634" t="s">
        <v>2156</v>
      </c>
      <c r="B634" t="str">
        <f>VLOOKUP(D634,pgc_pyme!J:M,4,FALSE)</f>
        <v>Variación de Existencias</v>
      </c>
      <c r="C634" t="s">
        <v>2486</v>
      </c>
      <c r="D634" t="s">
        <v>2308</v>
      </c>
      <c r="E634">
        <v>0</v>
      </c>
      <c r="F634" t="s">
        <v>1587</v>
      </c>
      <c r="G634" t="s">
        <v>1586</v>
      </c>
      <c r="H634" t="s">
        <v>1579</v>
      </c>
    </row>
    <row r="635" spans="1:8" x14ac:dyDescent="0.25">
      <c r="A635" t="s">
        <v>2157</v>
      </c>
      <c r="B635" t="str">
        <f>VLOOKUP(D635,pgc_pyme!J:M,4,FALSE)</f>
        <v>Variación de Existencias</v>
      </c>
      <c r="C635" t="s">
        <v>2487</v>
      </c>
      <c r="D635" t="s">
        <v>2308</v>
      </c>
      <c r="E635">
        <v>0</v>
      </c>
      <c r="F635" t="s">
        <v>1587</v>
      </c>
      <c r="G635" t="s">
        <v>1586</v>
      </c>
      <c r="H635" t="s">
        <v>1579</v>
      </c>
    </row>
    <row r="636" spans="1:8" x14ac:dyDescent="0.25">
      <c r="A636" t="s">
        <v>2158</v>
      </c>
      <c r="B636" t="str">
        <f>VLOOKUP(D636,pgc_pyme!J:M,4,FALSE)</f>
        <v>Variación de Existencias</v>
      </c>
      <c r="C636" t="s">
        <v>2488</v>
      </c>
      <c r="D636" t="s">
        <v>2308</v>
      </c>
      <c r="E636">
        <v>0</v>
      </c>
      <c r="F636" t="s">
        <v>1587</v>
      </c>
      <c r="G636" t="s">
        <v>1586</v>
      </c>
      <c r="H636" t="s">
        <v>1579</v>
      </c>
    </row>
    <row r="637" spans="1:8" x14ac:dyDescent="0.25">
      <c r="A637" t="s">
        <v>3088</v>
      </c>
      <c r="B637" t="str">
        <f>VLOOKUP(D637,pgc_pyme!J:M,4,FALSE)</f>
        <v>INGRESOS</v>
      </c>
      <c r="C637" t="s">
        <v>2309</v>
      </c>
      <c r="D637" t="s">
        <v>2267</v>
      </c>
      <c r="E637">
        <v>1</v>
      </c>
      <c r="F637" t="s">
        <v>1587</v>
      </c>
      <c r="G637" t="s">
        <v>1586</v>
      </c>
      <c r="H637" t="s">
        <v>1579</v>
      </c>
    </row>
    <row r="638" spans="1:8" x14ac:dyDescent="0.25">
      <c r="A638" t="s">
        <v>2159</v>
      </c>
      <c r="B638" t="str">
        <f>VLOOKUP(D638,pgc_pyme!J:M,4,FALSE)</f>
        <v>Trabajos Realizados para la Empresa</v>
      </c>
      <c r="C638" t="s">
        <v>2489</v>
      </c>
      <c r="D638" t="s">
        <v>2309</v>
      </c>
      <c r="E638">
        <v>0</v>
      </c>
      <c r="F638" t="s">
        <v>1587</v>
      </c>
      <c r="G638" t="s">
        <v>1586</v>
      </c>
      <c r="H638" t="s">
        <v>1579</v>
      </c>
    </row>
    <row r="639" spans="1:8" x14ac:dyDescent="0.25">
      <c r="A639" t="s">
        <v>2160</v>
      </c>
      <c r="B639" t="str">
        <f>VLOOKUP(D639,pgc_pyme!J:M,4,FALSE)</f>
        <v>Trabajos Realizados para la Empresa</v>
      </c>
      <c r="C639" t="s">
        <v>2490</v>
      </c>
      <c r="D639" t="s">
        <v>2309</v>
      </c>
      <c r="E639">
        <v>0</v>
      </c>
      <c r="F639" t="s">
        <v>1587</v>
      </c>
      <c r="G639" t="s">
        <v>1586</v>
      </c>
      <c r="H639" t="s">
        <v>1579</v>
      </c>
    </row>
    <row r="640" spans="1:8" x14ac:dyDescent="0.25">
      <c r="A640" t="s">
        <v>2161</v>
      </c>
      <c r="B640" t="str">
        <f>VLOOKUP(D640,pgc_pyme!J:M,4,FALSE)</f>
        <v>Trabajos Realizados para la Empresa</v>
      </c>
      <c r="C640" t="s">
        <v>2491</v>
      </c>
      <c r="D640" t="s">
        <v>2309</v>
      </c>
      <c r="E640">
        <v>0</v>
      </c>
      <c r="F640" t="s">
        <v>1587</v>
      </c>
      <c r="G640" t="s">
        <v>1586</v>
      </c>
      <c r="H640" t="s">
        <v>1579</v>
      </c>
    </row>
    <row r="641" spans="1:8" x14ac:dyDescent="0.25">
      <c r="A641" t="s">
        <v>2162</v>
      </c>
      <c r="B641" t="str">
        <f>VLOOKUP(D641,pgc_pyme!J:M,4,FALSE)</f>
        <v>Trabajos Realizados para la Empresa</v>
      </c>
      <c r="C641" t="s">
        <v>2492</v>
      </c>
      <c r="D641" t="s">
        <v>2309</v>
      </c>
      <c r="E641">
        <v>0</v>
      </c>
      <c r="F641" t="s">
        <v>1587</v>
      </c>
      <c r="G641" t="s">
        <v>1586</v>
      </c>
      <c r="H641" t="s">
        <v>1579</v>
      </c>
    </row>
    <row r="642" spans="1:8" x14ac:dyDescent="0.25">
      <c r="A642" t="s">
        <v>3067</v>
      </c>
      <c r="B642" t="str">
        <f>VLOOKUP(D642,pgc_pyme!J:M,4,FALSE)</f>
        <v>INGRESOS</v>
      </c>
      <c r="C642" t="s">
        <v>2310</v>
      </c>
      <c r="D642" t="s">
        <v>2267</v>
      </c>
      <c r="E642">
        <v>1</v>
      </c>
      <c r="F642" t="s">
        <v>1587</v>
      </c>
      <c r="G642" t="s">
        <v>1586</v>
      </c>
      <c r="H642" t="s">
        <v>1579</v>
      </c>
    </row>
    <row r="643" spans="1:8" x14ac:dyDescent="0.25">
      <c r="A643" t="s">
        <v>2163</v>
      </c>
      <c r="B643" t="str">
        <f>VLOOKUP(D643,pgc_pyme!J:M,4,FALSE)</f>
        <v>Subvenciones, Donaciones y Legados</v>
      </c>
      <c r="C643" t="s">
        <v>2493</v>
      </c>
      <c r="D643" t="s">
        <v>2310</v>
      </c>
      <c r="E643">
        <v>0</v>
      </c>
      <c r="F643" t="s">
        <v>1587</v>
      </c>
      <c r="G643" t="s">
        <v>1586</v>
      </c>
      <c r="H643" t="s">
        <v>1579</v>
      </c>
    </row>
    <row r="644" spans="1:8" x14ac:dyDescent="0.25">
      <c r="A644" t="s">
        <v>2164</v>
      </c>
      <c r="B644" t="str">
        <f>VLOOKUP(D644,pgc_pyme!J:M,4,FALSE)</f>
        <v>Subvenciones, Donaciones y Legados</v>
      </c>
      <c r="C644" t="s">
        <v>2494</v>
      </c>
      <c r="D644" t="s">
        <v>2310</v>
      </c>
      <c r="E644">
        <v>0</v>
      </c>
      <c r="F644" t="s">
        <v>1587</v>
      </c>
      <c r="G644" t="s">
        <v>1586</v>
      </c>
      <c r="H644" t="s">
        <v>1579</v>
      </c>
    </row>
    <row r="645" spans="1:8" x14ac:dyDescent="0.25">
      <c r="A645" t="s">
        <v>2165</v>
      </c>
      <c r="B645" t="str">
        <f>VLOOKUP(D645,pgc_pyme!J:M,4,FALSE)</f>
        <v>Subvenciones, Donaciones y Legados</v>
      </c>
      <c r="C645" t="s">
        <v>2495</v>
      </c>
      <c r="D645" t="s">
        <v>2310</v>
      </c>
      <c r="E645">
        <v>0</v>
      </c>
      <c r="F645" t="s">
        <v>1587</v>
      </c>
      <c r="G645" t="s">
        <v>1586</v>
      </c>
      <c r="H645" t="s">
        <v>1579</v>
      </c>
    </row>
    <row r="646" spans="1:8" x14ac:dyDescent="0.25">
      <c r="A646" t="s">
        <v>3068</v>
      </c>
      <c r="B646" t="str">
        <f>VLOOKUP(D646,pgc_pyme!J:M,4,FALSE)</f>
        <v>INGRESOS</v>
      </c>
      <c r="C646" t="s">
        <v>2311</v>
      </c>
      <c r="D646" t="s">
        <v>2267</v>
      </c>
      <c r="E646">
        <v>1</v>
      </c>
      <c r="F646" t="s">
        <v>1587</v>
      </c>
      <c r="G646" t="s">
        <v>1586</v>
      </c>
      <c r="H646" t="s">
        <v>1579</v>
      </c>
    </row>
    <row r="647" spans="1:8" x14ac:dyDescent="0.25">
      <c r="A647" t="s">
        <v>2027</v>
      </c>
      <c r="B647" t="str">
        <f>VLOOKUP(D647,pgc_pyme!J:M,4,FALSE)</f>
        <v>Otros Ingresos de Gestión</v>
      </c>
      <c r="C647" t="s">
        <v>2312</v>
      </c>
      <c r="D647" t="s">
        <v>2311</v>
      </c>
      <c r="E647">
        <v>1</v>
      </c>
      <c r="F647" t="s">
        <v>1587</v>
      </c>
      <c r="G647" t="s">
        <v>1586</v>
      </c>
      <c r="H647" t="s">
        <v>1579</v>
      </c>
    </row>
    <row r="648" spans="1:8" x14ac:dyDescent="0.25">
      <c r="A648" t="s">
        <v>2166</v>
      </c>
      <c r="B648" t="str">
        <f>VLOOKUP(D648,pgc_pyme!J:M,4,FALSE)</f>
        <v>Resultados de operaciones en común</v>
      </c>
      <c r="C648" t="s">
        <v>2496</v>
      </c>
      <c r="D648" t="s">
        <v>2312</v>
      </c>
      <c r="E648">
        <v>0</v>
      </c>
      <c r="F648" t="s">
        <v>1587</v>
      </c>
      <c r="G648" t="s">
        <v>1586</v>
      </c>
      <c r="H648" t="s">
        <v>1579</v>
      </c>
    </row>
    <row r="649" spans="1:8" x14ac:dyDescent="0.25">
      <c r="A649" t="s">
        <v>2167</v>
      </c>
      <c r="B649" t="str">
        <f>VLOOKUP(D649,pgc_pyme!J:M,4,FALSE)</f>
        <v>Resultados de operaciones en común</v>
      </c>
      <c r="C649" t="s">
        <v>2497</v>
      </c>
      <c r="D649" t="s">
        <v>2312</v>
      </c>
      <c r="E649">
        <v>0</v>
      </c>
      <c r="F649" t="s">
        <v>1587</v>
      </c>
      <c r="G649" t="s">
        <v>1586</v>
      </c>
      <c r="H649" t="s">
        <v>1579</v>
      </c>
    </row>
    <row r="650" spans="1:8" x14ac:dyDescent="0.25">
      <c r="A650" t="s">
        <v>2168</v>
      </c>
      <c r="B650" t="str">
        <f>VLOOKUP(D650,pgc_pyme!J:M,4,FALSE)</f>
        <v>Otros Ingresos de Gestión</v>
      </c>
      <c r="C650" t="s">
        <v>2498</v>
      </c>
      <c r="D650" t="s">
        <v>2311</v>
      </c>
      <c r="E650">
        <v>0</v>
      </c>
      <c r="F650" t="s">
        <v>1587</v>
      </c>
      <c r="G650" t="s">
        <v>1586</v>
      </c>
      <c r="H650" t="s">
        <v>1579</v>
      </c>
    </row>
    <row r="651" spans="1:8" x14ac:dyDescent="0.25">
      <c r="A651" t="s">
        <v>2169</v>
      </c>
      <c r="B651" t="str">
        <f>VLOOKUP(D651,pgc_pyme!J:M,4,FALSE)</f>
        <v>Otros Ingresos de Gestión</v>
      </c>
      <c r="C651" t="s">
        <v>2499</v>
      </c>
      <c r="D651" t="s">
        <v>2311</v>
      </c>
      <c r="E651">
        <v>0</v>
      </c>
      <c r="F651" t="s">
        <v>1587</v>
      </c>
      <c r="G651" t="s">
        <v>1586</v>
      </c>
      <c r="H651" t="s">
        <v>1579</v>
      </c>
    </row>
    <row r="652" spans="1:8" x14ac:dyDescent="0.25">
      <c r="A652" t="s">
        <v>2170</v>
      </c>
      <c r="B652" t="str">
        <f>VLOOKUP(D652,pgc_pyme!J:M,4,FALSE)</f>
        <v>Otros Ingresos de Gestión</v>
      </c>
      <c r="C652" t="s">
        <v>2500</v>
      </c>
      <c r="D652" t="s">
        <v>2311</v>
      </c>
      <c r="E652">
        <v>0</v>
      </c>
      <c r="F652" t="s">
        <v>1587</v>
      </c>
      <c r="G652" t="s">
        <v>1586</v>
      </c>
      <c r="H652" t="s">
        <v>1579</v>
      </c>
    </row>
    <row r="653" spans="1:8" x14ac:dyDescent="0.25">
      <c r="A653" t="s">
        <v>2171</v>
      </c>
      <c r="B653" t="str">
        <f>VLOOKUP(D653,pgc_pyme!J:M,4,FALSE)</f>
        <v>Otros Ingresos de Gestión</v>
      </c>
      <c r="C653" t="s">
        <v>2501</v>
      </c>
      <c r="D653" t="s">
        <v>2311</v>
      </c>
      <c r="E653">
        <v>0</v>
      </c>
      <c r="F653" t="s">
        <v>1587</v>
      </c>
      <c r="G653" t="s">
        <v>1586</v>
      </c>
      <c r="H653" t="s">
        <v>1579</v>
      </c>
    </row>
    <row r="654" spans="1:8" x14ac:dyDescent="0.25">
      <c r="A654" t="s">
        <v>2172</v>
      </c>
      <c r="B654" t="str">
        <f>VLOOKUP(D654,pgc_pyme!J:M,4,FALSE)</f>
        <v>Otros Ingresos de Gestión</v>
      </c>
      <c r="C654" t="s">
        <v>2502</v>
      </c>
      <c r="D654" t="s">
        <v>2311</v>
      </c>
      <c r="E654">
        <v>0</v>
      </c>
      <c r="F654" t="s">
        <v>1587</v>
      </c>
      <c r="G654" t="s">
        <v>1586</v>
      </c>
      <c r="H654" t="s">
        <v>1579</v>
      </c>
    </row>
    <row r="655" spans="1:8" x14ac:dyDescent="0.25">
      <c r="A655" t="s">
        <v>3089</v>
      </c>
      <c r="B655" t="str">
        <f>VLOOKUP(D655,pgc_pyme!J:M,4,FALSE)</f>
        <v>INGRESOS</v>
      </c>
      <c r="C655" t="s">
        <v>2313</v>
      </c>
      <c r="D655" t="s">
        <v>2267</v>
      </c>
      <c r="E655">
        <v>1</v>
      </c>
      <c r="F655" t="s">
        <v>1587</v>
      </c>
      <c r="G655" t="s">
        <v>1586</v>
      </c>
      <c r="H655" t="s">
        <v>1579</v>
      </c>
    </row>
    <row r="656" spans="1:8" x14ac:dyDescent="0.25">
      <c r="A656" t="s">
        <v>2173</v>
      </c>
      <c r="B656" t="str">
        <f>VLOOKUP(D656,pgc_pyme!J:M,4,FALSE)</f>
        <v>Ingresos Financieros</v>
      </c>
      <c r="C656" t="s">
        <v>2314</v>
      </c>
      <c r="D656" t="s">
        <v>2313</v>
      </c>
      <c r="E656">
        <v>1</v>
      </c>
      <c r="F656" t="s">
        <v>1587</v>
      </c>
      <c r="G656" t="s">
        <v>1586</v>
      </c>
      <c r="H656" t="s">
        <v>1579</v>
      </c>
    </row>
    <row r="657" spans="1:8" x14ac:dyDescent="0.25">
      <c r="A657" t="s">
        <v>2174</v>
      </c>
      <c r="B657" t="str">
        <f>VLOOKUP(D657,pgc_pyme!J:M,4,FALSE)</f>
        <v>Ingresos de participaciones en instrumentos de patrimonio</v>
      </c>
      <c r="C657" t="s">
        <v>2503</v>
      </c>
      <c r="D657" t="s">
        <v>2314</v>
      </c>
      <c r="E657">
        <v>0</v>
      </c>
      <c r="F657" t="s">
        <v>1587</v>
      </c>
      <c r="G657" t="s">
        <v>1586</v>
      </c>
      <c r="H657" t="s">
        <v>1579</v>
      </c>
    </row>
    <row r="658" spans="1:8" x14ac:dyDescent="0.25">
      <c r="A658" t="s">
        <v>2175</v>
      </c>
      <c r="B658" t="str">
        <f>VLOOKUP(D658,pgc_pyme!J:M,4,FALSE)</f>
        <v>Ingresos de participaciones en instrumentos de patrimonio</v>
      </c>
      <c r="C658" t="s">
        <v>2504</v>
      </c>
      <c r="D658" t="s">
        <v>2314</v>
      </c>
      <c r="E658">
        <v>0</v>
      </c>
      <c r="F658" t="s">
        <v>1587</v>
      </c>
      <c r="G658" t="s">
        <v>1586</v>
      </c>
      <c r="H658" t="s">
        <v>1579</v>
      </c>
    </row>
    <row r="659" spans="1:8" x14ac:dyDescent="0.25">
      <c r="A659" t="s">
        <v>2176</v>
      </c>
      <c r="B659" t="str">
        <f>VLOOKUP(D659,pgc_pyme!J:M,4,FALSE)</f>
        <v>Ingresos de participaciones en instrumentos de patrimonio</v>
      </c>
      <c r="C659" t="s">
        <v>2505</v>
      </c>
      <c r="D659" t="s">
        <v>2314</v>
      </c>
      <c r="E659">
        <v>0</v>
      </c>
      <c r="F659" t="s">
        <v>1587</v>
      </c>
      <c r="G659" t="s">
        <v>1586</v>
      </c>
      <c r="H659" t="s">
        <v>1579</v>
      </c>
    </row>
    <row r="660" spans="1:8" x14ac:dyDescent="0.25">
      <c r="A660" t="s">
        <v>2177</v>
      </c>
      <c r="B660" t="str">
        <f>VLOOKUP(D660,pgc_pyme!J:M,4,FALSE)</f>
        <v>Ingresos de participaciones en instrumentos de patrimonio</v>
      </c>
      <c r="C660" t="s">
        <v>2506</v>
      </c>
      <c r="D660" t="s">
        <v>2314</v>
      </c>
      <c r="E660">
        <v>0</v>
      </c>
      <c r="F660" t="s">
        <v>1587</v>
      </c>
      <c r="G660" t="s">
        <v>1586</v>
      </c>
      <c r="H660" t="s">
        <v>1579</v>
      </c>
    </row>
    <row r="661" spans="1:8" x14ac:dyDescent="0.25">
      <c r="A661" t="s">
        <v>2178</v>
      </c>
      <c r="B661" t="str">
        <f>VLOOKUP(D661,pgc_pyme!J:M,4,FALSE)</f>
        <v>Ingresos Financieros</v>
      </c>
      <c r="C661" t="s">
        <v>2315</v>
      </c>
      <c r="D661" t="s">
        <v>2313</v>
      </c>
      <c r="E661">
        <v>1</v>
      </c>
      <c r="F661" t="s">
        <v>1587</v>
      </c>
      <c r="G661" t="s">
        <v>1586</v>
      </c>
      <c r="H661" t="s">
        <v>1579</v>
      </c>
    </row>
    <row r="662" spans="1:8" x14ac:dyDescent="0.25">
      <c r="A662" t="s">
        <v>2179</v>
      </c>
      <c r="B662" t="str">
        <f>VLOOKUP(D662,pgc_pyme!J:M,4,FALSE)</f>
        <v>Ingresos de valores representativos de deuda</v>
      </c>
      <c r="C662" t="s">
        <v>2507</v>
      </c>
      <c r="D662" t="s">
        <v>2315</v>
      </c>
      <c r="E662">
        <v>0</v>
      </c>
      <c r="F662" t="s">
        <v>1587</v>
      </c>
      <c r="G662" t="s">
        <v>1586</v>
      </c>
      <c r="H662" t="s">
        <v>1579</v>
      </c>
    </row>
    <row r="663" spans="1:8" x14ac:dyDescent="0.25">
      <c r="A663" t="s">
        <v>2180</v>
      </c>
      <c r="B663" t="str">
        <f>VLOOKUP(D663,pgc_pyme!J:M,4,FALSE)</f>
        <v>Ingresos de valores representativos de deuda</v>
      </c>
      <c r="C663" t="s">
        <v>2508</v>
      </c>
      <c r="D663" t="s">
        <v>2315</v>
      </c>
      <c r="E663">
        <v>0</v>
      </c>
      <c r="F663" t="s">
        <v>1587</v>
      </c>
      <c r="G663" t="s">
        <v>1586</v>
      </c>
      <c r="H663" t="s">
        <v>1579</v>
      </c>
    </row>
    <row r="664" spans="1:8" x14ac:dyDescent="0.25">
      <c r="A664" t="s">
        <v>2181</v>
      </c>
      <c r="B664" t="str">
        <f>VLOOKUP(D664,pgc_pyme!J:M,4,FALSE)</f>
        <v>Ingresos de valores representativos de deuda</v>
      </c>
      <c r="C664" t="s">
        <v>2509</v>
      </c>
      <c r="D664" t="s">
        <v>2315</v>
      </c>
      <c r="E664">
        <v>0</v>
      </c>
      <c r="F664" t="s">
        <v>1587</v>
      </c>
      <c r="G664" t="s">
        <v>1586</v>
      </c>
      <c r="H664" t="s">
        <v>1579</v>
      </c>
    </row>
    <row r="665" spans="1:8" x14ac:dyDescent="0.25">
      <c r="A665" t="s">
        <v>2182</v>
      </c>
      <c r="B665" t="str">
        <f>VLOOKUP(D665,pgc_pyme!J:M,4,FALSE)</f>
        <v>Ingresos de valores representativos de deuda</v>
      </c>
      <c r="C665" t="s">
        <v>2510</v>
      </c>
      <c r="D665" t="s">
        <v>2315</v>
      </c>
      <c r="E665">
        <v>0</v>
      </c>
      <c r="F665" t="s">
        <v>1587</v>
      </c>
      <c r="G665" t="s">
        <v>1586</v>
      </c>
      <c r="H665" t="s">
        <v>1579</v>
      </c>
    </row>
    <row r="666" spans="1:8" x14ac:dyDescent="0.25">
      <c r="A666" t="s">
        <v>2183</v>
      </c>
      <c r="B666" t="str">
        <f>VLOOKUP(D666,pgc_pyme!J:M,4,FALSE)</f>
        <v>Ingresos Financieros</v>
      </c>
      <c r="C666" t="s">
        <v>2316</v>
      </c>
      <c r="D666" t="s">
        <v>2313</v>
      </c>
      <c r="E666">
        <v>1</v>
      </c>
      <c r="F666" t="s">
        <v>1587</v>
      </c>
      <c r="G666" t="s">
        <v>1586</v>
      </c>
      <c r="H666" t="s">
        <v>1579</v>
      </c>
    </row>
    <row r="667" spans="1:8" x14ac:dyDescent="0.25">
      <c r="A667" t="s">
        <v>2184</v>
      </c>
      <c r="B667" t="str">
        <f>VLOOKUP(D667,pgc_pyme!J:M,4,FALSE)</f>
        <v>Ingresos de créditos</v>
      </c>
      <c r="C667" t="s">
        <v>2317</v>
      </c>
      <c r="D667" t="s">
        <v>2316</v>
      </c>
      <c r="E667">
        <v>1</v>
      </c>
      <c r="F667" t="s">
        <v>1587</v>
      </c>
      <c r="G667" t="s">
        <v>1586</v>
      </c>
      <c r="H667" t="s">
        <v>1579</v>
      </c>
    </row>
    <row r="668" spans="1:8" x14ac:dyDescent="0.25">
      <c r="A668" t="s">
        <v>2185</v>
      </c>
      <c r="B668" t="str">
        <f>VLOOKUP(D668,pgc_pyme!J:M,4,FALSE)</f>
        <v xml:space="preserve">Ingresos de créditos a largo plazo </v>
      </c>
      <c r="C668" t="s">
        <v>2511</v>
      </c>
      <c r="D668" t="s">
        <v>2317</v>
      </c>
      <c r="E668">
        <v>0</v>
      </c>
      <c r="F668" t="s">
        <v>1587</v>
      </c>
      <c r="G668" t="s">
        <v>1586</v>
      </c>
      <c r="H668" t="s">
        <v>1579</v>
      </c>
    </row>
    <row r="669" spans="1:8" x14ac:dyDescent="0.25">
      <c r="A669" t="s">
        <v>2186</v>
      </c>
      <c r="B669" t="str">
        <f>VLOOKUP(D669,pgc_pyme!J:M,4,FALSE)</f>
        <v xml:space="preserve">Ingresos de créditos a largo plazo </v>
      </c>
      <c r="C669" t="s">
        <v>2512</v>
      </c>
      <c r="D669" t="s">
        <v>2317</v>
      </c>
      <c r="E669">
        <v>0</v>
      </c>
      <c r="F669" t="s">
        <v>1587</v>
      </c>
      <c r="G669" t="s">
        <v>1586</v>
      </c>
      <c r="H669" t="s">
        <v>1579</v>
      </c>
    </row>
    <row r="670" spans="1:8" x14ac:dyDescent="0.25">
      <c r="A670" t="s">
        <v>2187</v>
      </c>
      <c r="B670" t="str">
        <f>VLOOKUP(D670,pgc_pyme!J:M,4,FALSE)</f>
        <v xml:space="preserve">Ingresos de créditos a largo plazo </v>
      </c>
      <c r="C670" t="s">
        <v>2513</v>
      </c>
      <c r="D670" t="s">
        <v>2317</v>
      </c>
      <c r="E670">
        <v>0</v>
      </c>
      <c r="F670" t="s">
        <v>1587</v>
      </c>
      <c r="G670" t="s">
        <v>1586</v>
      </c>
      <c r="H670" t="s">
        <v>1579</v>
      </c>
    </row>
    <row r="671" spans="1:8" x14ac:dyDescent="0.25">
      <c r="A671" t="s">
        <v>2188</v>
      </c>
      <c r="B671" t="str">
        <f>VLOOKUP(D671,pgc_pyme!J:M,4,FALSE)</f>
        <v xml:space="preserve">Ingresos de créditos a largo plazo </v>
      </c>
      <c r="C671" t="s">
        <v>2514</v>
      </c>
      <c r="D671" t="s">
        <v>2317</v>
      </c>
      <c r="E671">
        <v>0</v>
      </c>
      <c r="F671" t="s">
        <v>1587</v>
      </c>
      <c r="G671" t="s">
        <v>1586</v>
      </c>
      <c r="H671" t="s">
        <v>1579</v>
      </c>
    </row>
    <row r="672" spans="1:8" x14ac:dyDescent="0.25">
      <c r="A672" t="s">
        <v>2189</v>
      </c>
      <c r="B672" t="str">
        <f>VLOOKUP(D672,pgc_pyme!J:M,4,FALSE)</f>
        <v>Ingresos de créditos</v>
      </c>
      <c r="C672" t="s">
        <v>2318</v>
      </c>
      <c r="D672" t="s">
        <v>2316</v>
      </c>
      <c r="E672">
        <v>1</v>
      </c>
      <c r="F672" t="s">
        <v>1587</v>
      </c>
      <c r="G672" t="s">
        <v>1586</v>
      </c>
      <c r="H672" t="s">
        <v>1579</v>
      </c>
    </row>
    <row r="673" spans="1:8" x14ac:dyDescent="0.25">
      <c r="A673" t="s">
        <v>2190</v>
      </c>
      <c r="B673" t="str">
        <f>VLOOKUP(D673,pgc_pyme!J:M,4,FALSE)</f>
        <v>Ingresos de créditos a corto plazo</v>
      </c>
      <c r="C673" t="s">
        <v>2515</v>
      </c>
      <c r="D673" t="s">
        <v>2318</v>
      </c>
      <c r="E673">
        <v>0</v>
      </c>
      <c r="F673" t="s">
        <v>1587</v>
      </c>
      <c r="G673" t="s">
        <v>1586</v>
      </c>
      <c r="H673" t="s">
        <v>1579</v>
      </c>
    </row>
    <row r="674" spans="1:8" x14ac:dyDescent="0.25">
      <c r="A674" t="s">
        <v>2191</v>
      </c>
      <c r="B674" t="str">
        <f>VLOOKUP(D674,pgc_pyme!J:M,4,FALSE)</f>
        <v>Ingresos de créditos a corto plazo</v>
      </c>
      <c r="C674" t="s">
        <v>2516</v>
      </c>
      <c r="D674" t="s">
        <v>2318</v>
      </c>
      <c r="E674">
        <v>0</v>
      </c>
      <c r="F674" t="s">
        <v>1587</v>
      </c>
      <c r="G674" t="s">
        <v>1586</v>
      </c>
      <c r="H674" t="s">
        <v>1579</v>
      </c>
    </row>
    <row r="675" spans="1:8" x14ac:dyDescent="0.25">
      <c r="A675" t="s">
        <v>2192</v>
      </c>
      <c r="B675" t="str">
        <f>VLOOKUP(D675,pgc_pyme!J:M,4,FALSE)</f>
        <v>Ingresos de créditos a corto plazo</v>
      </c>
      <c r="C675" t="s">
        <v>2517</v>
      </c>
      <c r="D675" t="s">
        <v>2318</v>
      </c>
      <c r="E675">
        <v>0</v>
      </c>
      <c r="F675" t="s">
        <v>1587</v>
      </c>
      <c r="G675" t="s">
        <v>1586</v>
      </c>
      <c r="H675" t="s">
        <v>1579</v>
      </c>
    </row>
    <row r="676" spans="1:8" x14ac:dyDescent="0.25">
      <c r="A676" t="s">
        <v>2193</v>
      </c>
      <c r="B676" t="str">
        <f>VLOOKUP(D676,pgc_pyme!J:M,4,FALSE)</f>
        <v>Ingresos de créditos a corto plazo</v>
      </c>
      <c r="C676" t="s">
        <v>2518</v>
      </c>
      <c r="D676" t="s">
        <v>2318</v>
      </c>
      <c r="E676">
        <v>0</v>
      </c>
      <c r="F676" t="s">
        <v>1587</v>
      </c>
      <c r="G676" t="s">
        <v>1586</v>
      </c>
      <c r="H676" t="s">
        <v>1579</v>
      </c>
    </row>
    <row r="677" spans="1:8" x14ac:dyDescent="0.25">
      <c r="A677" t="s">
        <v>2194</v>
      </c>
      <c r="B677" t="str">
        <f>VLOOKUP(D677,pgc_pyme!J:M,4,FALSE)</f>
        <v>Ingresos Financieros</v>
      </c>
      <c r="C677" t="s">
        <v>2319</v>
      </c>
      <c r="D677" t="s">
        <v>2313</v>
      </c>
      <c r="E677">
        <v>0</v>
      </c>
      <c r="F677" t="s">
        <v>1587</v>
      </c>
      <c r="G677" t="s">
        <v>1586</v>
      </c>
      <c r="H677" t="s">
        <v>1579</v>
      </c>
    </row>
    <row r="678" spans="1:8" x14ac:dyDescent="0.25">
      <c r="A678" t="s">
        <v>2195</v>
      </c>
      <c r="B678" t="str">
        <f>VLOOKUP(D678,pgc_pyme!J:M,4,FALSE)</f>
        <v>Ingresos Financieros</v>
      </c>
      <c r="C678" t="s">
        <v>2320</v>
      </c>
      <c r="D678" t="s">
        <v>2313</v>
      </c>
      <c r="E678">
        <v>1</v>
      </c>
      <c r="F678" t="s">
        <v>1587</v>
      </c>
      <c r="G678" t="s">
        <v>1586</v>
      </c>
      <c r="H678" t="s">
        <v>1579</v>
      </c>
    </row>
    <row r="679" spans="1:8" x14ac:dyDescent="0.25">
      <c r="A679" t="s">
        <v>2196</v>
      </c>
      <c r="B679" t="str">
        <f>VLOOKUP(D679,pgc_pyme!J:M,4,FALSE)</f>
        <v>Beneficios en participaciones y valores representativos de deuda</v>
      </c>
      <c r="C679" t="s">
        <v>2519</v>
      </c>
      <c r="D679" t="s">
        <v>2320</v>
      </c>
      <c r="E679">
        <v>0</v>
      </c>
      <c r="F679" t="s">
        <v>1587</v>
      </c>
      <c r="G679" t="s">
        <v>1586</v>
      </c>
      <c r="H679" t="s">
        <v>1579</v>
      </c>
    </row>
    <row r="680" spans="1:8" x14ac:dyDescent="0.25">
      <c r="A680" t="s">
        <v>2197</v>
      </c>
      <c r="B680" t="str">
        <f>VLOOKUP(D680,pgc_pyme!J:M,4,FALSE)</f>
        <v>Beneficios en participaciones y valores representativos de deuda</v>
      </c>
      <c r="C680" t="s">
        <v>2520</v>
      </c>
      <c r="D680" t="s">
        <v>2320</v>
      </c>
      <c r="E680">
        <v>0</v>
      </c>
      <c r="F680" t="s">
        <v>1587</v>
      </c>
      <c r="G680" t="s">
        <v>1586</v>
      </c>
      <c r="H680" t="s">
        <v>1579</v>
      </c>
    </row>
    <row r="681" spans="1:8" x14ac:dyDescent="0.25">
      <c r="A681" t="s">
        <v>2198</v>
      </c>
      <c r="B681" t="str">
        <f>VLOOKUP(D681,pgc_pyme!J:M,4,FALSE)</f>
        <v>Beneficios en participaciones y valores representativos de deuda</v>
      </c>
      <c r="C681" t="s">
        <v>2521</v>
      </c>
      <c r="D681" t="s">
        <v>2320</v>
      </c>
      <c r="E681">
        <v>0</v>
      </c>
      <c r="F681" t="s">
        <v>1587</v>
      </c>
      <c r="G681" t="s">
        <v>1586</v>
      </c>
      <c r="H681" t="s">
        <v>1579</v>
      </c>
    </row>
    <row r="682" spans="1:8" x14ac:dyDescent="0.25">
      <c r="A682" t="s">
        <v>2199</v>
      </c>
      <c r="B682" t="str">
        <f>VLOOKUP(D682,pgc_pyme!J:M,4,FALSE)</f>
        <v>Beneficios en participaciones y valores representativos de deuda</v>
      </c>
      <c r="C682" t="s">
        <v>2522</v>
      </c>
      <c r="D682" t="s">
        <v>2320</v>
      </c>
      <c r="E682">
        <v>0</v>
      </c>
      <c r="F682" t="s">
        <v>1587</v>
      </c>
      <c r="G682" t="s">
        <v>1586</v>
      </c>
      <c r="H682" t="s">
        <v>1579</v>
      </c>
    </row>
    <row r="683" spans="1:8" x14ac:dyDescent="0.25">
      <c r="A683" t="s">
        <v>2200</v>
      </c>
      <c r="B683" t="str">
        <f>VLOOKUP(D683,pgc_pyme!J:M,4,FALSE)</f>
        <v>Beneficios en participaciones y valores representativos de deuda</v>
      </c>
      <c r="C683" t="s">
        <v>2523</v>
      </c>
      <c r="D683" t="s">
        <v>2320</v>
      </c>
      <c r="E683">
        <v>0</v>
      </c>
      <c r="F683" t="s">
        <v>1587</v>
      </c>
      <c r="G683" t="s">
        <v>1586</v>
      </c>
      <c r="H683" t="s">
        <v>1579</v>
      </c>
    </row>
    <row r="684" spans="1:8" x14ac:dyDescent="0.25">
      <c r="A684" t="s">
        <v>2201</v>
      </c>
      <c r="B684" t="str">
        <f>VLOOKUP(D684,pgc_pyme!J:M,4,FALSE)</f>
        <v>Beneficios en participaciones y valores representativos de deuda</v>
      </c>
      <c r="C684" t="s">
        <v>2524</v>
      </c>
      <c r="D684" t="s">
        <v>2320</v>
      </c>
      <c r="E684">
        <v>0</v>
      </c>
      <c r="F684" t="s">
        <v>1587</v>
      </c>
      <c r="G684" t="s">
        <v>1586</v>
      </c>
      <c r="H684" t="s">
        <v>1579</v>
      </c>
    </row>
    <row r="685" spans="1:8" x14ac:dyDescent="0.25">
      <c r="A685" t="s">
        <v>2202</v>
      </c>
      <c r="B685" t="str">
        <f>VLOOKUP(D685,pgc_pyme!J:M,4,FALSE)</f>
        <v>Beneficios en participaciones y valores representativos de deuda</v>
      </c>
      <c r="C685" t="s">
        <v>2525</v>
      </c>
      <c r="D685" t="s">
        <v>2320</v>
      </c>
      <c r="E685">
        <v>0</v>
      </c>
      <c r="F685" t="s">
        <v>1587</v>
      </c>
      <c r="G685" t="s">
        <v>1586</v>
      </c>
      <c r="H685" t="s">
        <v>1579</v>
      </c>
    </row>
    <row r="686" spans="1:8" x14ac:dyDescent="0.25">
      <c r="A686" t="s">
        <v>2203</v>
      </c>
      <c r="B686" t="str">
        <f>VLOOKUP(D686,pgc_pyme!J:M,4,FALSE)</f>
        <v>Beneficios en participaciones y valores representativos de deuda</v>
      </c>
      <c r="C686" t="s">
        <v>2526</v>
      </c>
      <c r="D686" t="s">
        <v>2320</v>
      </c>
      <c r="E686">
        <v>0</v>
      </c>
      <c r="F686" t="s">
        <v>1587</v>
      </c>
      <c r="G686" t="s">
        <v>1586</v>
      </c>
      <c r="H686" t="s">
        <v>1579</v>
      </c>
    </row>
    <row r="687" spans="1:8" x14ac:dyDescent="0.25">
      <c r="A687" t="s">
        <v>2204</v>
      </c>
      <c r="B687" t="str">
        <f>VLOOKUP(D687,pgc_pyme!J:M,4,FALSE)</f>
        <v>Ingresos Financieros</v>
      </c>
      <c r="C687" t="s">
        <v>2527</v>
      </c>
      <c r="D687" t="s">
        <v>2313</v>
      </c>
      <c r="E687">
        <v>0</v>
      </c>
      <c r="F687" t="s">
        <v>1587</v>
      </c>
      <c r="G687" t="s">
        <v>1586</v>
      </c>
      <c r="H687" t="s">
        <v>1579</v>
      </c>
    </row>
    <row r="688" spans="1:8" x14ac:dyDescent="0.25">
      <c r="A688" t="s">
        <v>2205</v>
      </c>
      <c r="B688" t="str">
        <f>VLOOKUP(D688,pgc_pyme!J:M,4,FALSE)</f>
        <v>Ingresos Financieros</v>
      </c>
      <c r="C688" t="s">
        <v>2528</v>
      </c>
      <c r="D688" t="s">
        <v>2313</v>
      </c>
      <c r="E688">
        <v>0</v>
      </c>
      <c r="F688" t="s">
        <v>1587</v>
      </c>
      <c r="G688" t="s">
        <v>1586</v>
      </c>
      <c r="H688" t="s">
        <v>1579</v>
      </c>
    </row>
    <row r="689" spans="1:8" x14ac:dyDescent="0.25">
      <c r="A689" t="s">
        <v>3090</v>
      </c>
      <c r="B689" t="str">
        <f>VLOOKUP(D689,pgc_pyme!J:M,4,FALSE)</f>
        <v>INGRESOS</v>
      </c>
      <c r="C689" t="s">
        <v>2321</v>
      </c>
      <c r="D689" t="s">
        <v>2267</v>
      </c>
      <c r="E689">
        <v>1</v>
      </c>
      <c r="F689" t="s">
        <v>1587</v>
      </c>
      <c r="G689" t="s">
        <v>1586</v>
      </c>
      <c r="H689" t="s">
        <v>1579</v>
      </c>
    </row>
    <row r="690" spans="1:8" x14ac:dyDescent="0.25">
      <c r="A690" t="s">
        <v>2206</v>
      </c>
      <c r="B690" t="str">
        <f>VLOOKUP(D690,pgc_pyme!J:M,4,FALSE)</f>
        <v>Beneficios Procedentes de Activos No Corrientes e Ingresos Excepcionales</v>
      </c>
      <c r="C690" t="s">
        <v>2529</v>
      </c>
      <c r="D690" t="s">
        <v>2321</v>
      </c>
      <c r="E690">
        <v>0</v>
      </c>
      <c r="F690" t="s">
        <v>1587</v>
      </c>
      <c r="G690" t="s">
        <v>1586</v>
      </c>
      <c r="H690" t="s">
        <v>1579</v>
      </c>
    </row>
    <row r="691" spans="1:8" x14ac:dyDescent="0.25">
      <c r="A691" t="s">
        <v>2207</v>
      </c>
      <c r="B691" t="str">
        <f>VLOOKUP(D691,pgc_pyme!J:M,4,FALSE)</f>
        <v>Beneficios Procedentes de Activos No Corrientes e Ingresos Excepcionales</v>
      </c>
      <c r="C691" t="s">
        <v>2530</v>
      </c>
      <c r="D691" t="s">
        <v>2321</v>
      </c>
      <c r="E691">
        <v>0</v>
      </c>
      <c r="F691" t="s">
        <v>1587</v>
      </c>
      <c r="G691" t="s">
        <v>1586</v>
      </c>
      <c r="H691" t="s">
        <v>1579</v>
      </c>
    </row>
    <row r="692" spans="1:8" x14ac:dyDescent="0.25">
      <c r="A692" t="s">
        <v>2208</v>
      </c>
      <c r="B692" t="str">
        <f>VLOOKUP(D692,pgc_pyme!J:M,4,FALSE)</f>
        <v>Beneficios Procedentes de Activos No Corrientes e Ingresos Excepcionales</v>
      </c>
      <c r="C692" t="s">
        <v>2531</v>
      </c>
      <c r="D692" t="s">
        <v>2321</v>
      </c>
      <c r="E692">
        <v>0</v>
      </c>
      <c r="F692" t="s">
        <v>1587</v>
      </c>
      <c r="G692" t="s">
        <v>1586</v>
      </c>
      <c r="H692" t="s">
        <v>1579</v>
      </c>
    </row>
    <row r="693" spans="1:8" x14ac:dyDescent="0.25">
      <c r="A693" t="s">
        <v>2209</v>
      </c>
      <c r="B693" t="str">
        <f>VLOOKUP(D693,pgc_pyme!J:M,4,FALSE)</f>
        <v>Beneficios Procedentes de Activos No Corrientes e Ingresos Excepcionales</v>
      </c>
      <c r="C693" t="s">
        <v>2322</v>
      </c>
      <c r="D693" t="s">
        <v>2321</v>
      </c>
      <c r="E693">
        <v>1</v>
      </c>
      <c r="F693" t="s">
        <v>1587</v>
      </c>
      <c r="G693" t="s">
        <v>1586</v>
      </c>
      <c r="H693" t="s">
        <v>1579</v>
      </c>
    </row>
    <row r="694" spans="1:8" x14ac:dyDescent="0.25">
      <c r="A694" t="s">
        <v>2210</v>
      </c>
      <c r="B694" t="str">
        <f>VLOOKUP(D694,pgc_pyme!J:M,4,FALSE)</f>
        <v>Beneficios procedentes de participaciones a largo plazo en partes vinculadas</v>
      </c>
      <c r="C694" t="s">
        <v>2532</v>
      </c>
      <c r="D694" t="s">
        <v>2322</v>
      </c>
      <c r="E694">
        <v>0</v>
      </c>
      <c r="F694" t="s">
        <v>1587</v>
      </c>
      <c r="G694" t="s">
        <v>1586</v>
      </c>
      <c r="H694" t="s">
        <v>1579</v>
      </c>
    </row>
    <row r="695" spans="1:8" x14ac:dyDescent="0.25">
      <c r="A695" t="s">
        <v>2211</v>
      </c>
      <c r="B695" t="str">
        <f>VLOOKUP(D695,pgc_pyme!J:M,4,FALSE)</f>
        <v>Beneficios procedentes de participaciones a largo plazo en partes vinculadas</v>
      </c>
      <c r="C695" t="s">
        <v>2533</v>
      </c>
      <c r="D695" t="s">
        <v>2322</v>
      </c>
      <c r="E695">
        <v>0</v>
      </c>
      <c r="F695" t="s">
        <v>1587</v>
      </c>
      <c r="G695" t="s">
        <v>1586</v>
      </c>
      <c r="H695" t="s">
        <v>1579</v>
      </c>
    </row>
    <row r="696" spans="1:8" x14ac:dyDescent="0.25">
      <c r="A696" t="s">
        <v>2212</v>
      </c>
      <c r="B696" t="str">
        <f>VLOOKUP(D696,pgc_pyme!J:M,4,FALSE)</f>
        <v>Beneficios procedentes de participaciones a largo plazo en partes vinculadas</v>
      </c>
      <c r="C696" t="s">
        <v>2534</v>
      </c>
      <c r="D696" t="s">
        <v>2322</v>
      </c>
      <c r="E696">
        <v>0</v>
      </c>
      <c r="F696" t="s">
        <v>1587</v>
      </c>
      <c r="G696" t="s">
        <v>1586</v>
      </c>
      <c r="H696" t="s">
        <v>1579</v>
      </c>
    </row>
    <row r="697" spans="1:8" x14ac:dyDescent="0.25">
      <c r="A697" t="s">
        <v>2213</v>
      </c>
      <c r="B697" t="str">
        <f>VLOOKUP(D697,pgc_pyme!J:M,4,FALSE)</f>
        <v>Beneficios Procedentes de Activos No Corrientes e Ingresos Excepcionales</v>
      </c>
      <c r="C697" t="s">
        <v>2535</v>
      </c>
      <c r="D697" t="s">
        <v>2321</v>
      </c>
      <c r="E697">
        <v>0</v>
      </c>
      <c r="F697" t="s">
        <v>1587</v>
      </c>
      <c r="G697" t="s">
        <v>1586</v>
      </c>
      <c r="H697" t="s">
        <v>1579</v>
      </c>
    </row>
    <row r="698" spans="1:8" x14ac:dyDescent="0.25">
      <c r="A698" t="s">
        <v>2214</v>
      </c>
      <c r="B698" t="str">
        <f>VLOOKUP(D698,pgc_pyme!J:M,4,FALSE)</f>
        <v>Beneficios Procedentes de Activos No Corrientes e Ingresos Excepcionales</v>
      </c>
      <c r="C698" t="s">
        <v>2536</v>
      </c>
      <c r="D698" t="s">
        <v>2321</v>
      </c>
      <c r="E698">
        <v>0</v>
      </c>
      <c r="F698" t="s">
        <v>1587</v>
      </c>
      <c r="G698" t="s">
        <v>1586</v>
      </c>
      <c r="H698" t="s">
        <v>1579</v>
      </c>
    </row>
    <row r="699" spans="1:8" x14ac:dyDescent="0.25">
      <c r="A699" t="s">
        <v>3091</v>
      </c>
      <c r="B699" t="str">
        <f>VLOOKUP(D699,pgc_pyme!J:M,4,FALSE)</f>
        <v>INGRESOS</v>
      </c>
      <c r="C699" t="s">
        <v>2323</v>
      </c>
      <c r="D699" t="s">
        <v>2267</v>
      </c>
      <c r="E699">
        <v>1</v>
      </c>
      <c r="F699" t="s">
        <v>1587</v>
      </c>
      <c r="G699" t="s">
        <v>1586</v>
      </c>
      <c r="H699" t="s">
        <v>1579</v>
      </c>
    </row>
    <row r="700" spans="1:8" x14ac:dyDescent="0.25">
      <c r="A700" t="s">
        <v>2215</v>
      </c>
      <c r="B700" t="str">
        <f>VLOOKUP(D700,pgc_pyme!J:M,4,FALSE)</f>
        <v>Excesos y Aplicaciones De Provisiones y De Pérdidas Por Deterioro</v>
      </c>
      <c r="C700" t="s">
        <v>2537</v>
      </c>
      <c r="D700" t="s">
        <v>2323</v>
      </c>
      <c r="E700">
        <v>0</v>
      </c>
      <c r="F700" t="s">
        <v>1587</v>
      </c>
      <c r="G700" t="s">
        <v>1586</v>
      </c>
      <c r="H700" t="s">
        <v>1579</v>
      </c>
    </row>
    <row r="701" spans="1:8" x14ac:dyDescent="0.25">
      <c r="A701" t="s">
        <v>2216</v>
      </c>
      <c r="B701" t="str">
        <f>VLOOKUP(D701,pgc_pyme!J:M,4,FALSE)</f>
        <v>Excesos y Aplicaciones De Provisiones y De Pérdidas Por Deterioro</v>
      </c>
      <c r="C701" t="s">
        <v>2538</v>
      </c>
      <c r="D701" t="s">
        <v>2323</v>
      </c>
      <c r="E701">
        <v>0</v>
      </c>
      <c r="F701" t="s">
        <v>1587</v>
      </c>
      <c r="G701" t="s">
        <v>1586</v>
      </c>
      <c r="H701" t="s">
        <v>1579</v>
      </c>
    </row>
    <row r="702" spans="1:8" x14ac:dyDescent="0.25">
      <c r="A702" t="s">
        <v>2217</v>
      </c>
      <c r="B702" t="str">
        <f>VLOOKUP(D702,pgc_pyme!J:M,4,FALSE)</f>
        <v>Excesos y Aplicaciones De Provisiones y De Pérdidas Por Deterioro</v>
      </c>
      <c r="C702" t="s">
        <v>2539</v>
      </c>
      <c r="D702" t="s">
        <v>2323</v>
      </c>
      <c r="E702">
        <v>0</v>
      </c>
      <c r="F702" t="s">
        <v>1587</v>
      </c>
      <c r="G702" t="s">
        <v>1586</v>
      </c>
      <c r="H702" t="s">
        <v>1579</v>
      </c>
    </row>
    <row r="703" spans="1:8" x14ac:dyDescent="0.25">
      <c r="A703" t="s">
        <v>2218</v>
      </c>
      <c r="B703" t="str">
        <f>VLOOKUP(D703,pgc_pyme!J:M,4,FALSE)</f>
        <v>Excesos y Aplicaciones De Provisiones y De Pérdidas Por Deterioro</v>
      </c>
      <c r="C703" t="s">
        <v>2324</v>
      </c>
      <c r="D703" t="s">
        <v>2323</v>
      </c>
      <c r="E703">
        <v>1</v>
      </c>
      <c r="F703" t="s">
        <v>1587</v>
      </c>
      <c r="G703" t="s">
        <v>1586</v>
      </c>
      <c r="H703" t="s">
        <v>1579</v>
      </c>
    </row>
    <row r="704" spans="1:8" x14ac:dyDescent="0.25">
      <c r="A704" t="s">
        <v>2219</v>
      </c>
      <c r="B704" t="str">
        <f>VLOOKUP(D704,pgc_pyme!J:M,4,FALSE)</f>
        <v>Reversión del deterioro de existencias</v>
      </c>
      <c r="C704" t="s">
        <v>2540</v>
      </c>
      <c r="D704" t="s">
        <v>2324</v>
      </c>
      <c r="E704">
        <v>0</v>
      </c>
      <c r="F704" t="s">
        <v>1587</v>
      </c>
      <c r="G704" t="s">
        <v>1586</v>
      </c>
      <c r="H704" t="s">
        <v>1579</v>
      </c>
    </row>
    <row r="705" spans="1:8" x14ac:dyDescent="0.25">
      <c r="A705" t="s">
        <v>2220</v>
      </c>
      <c r="B705" t="str">
        <f>VLOOKUP(D705,pgc_pyme!J:M,4,FALSE)</f>
        <v>Reversión del deterioro de existencias</v>
      </c>
      <c r="C705" t="s">
        <v>2541</v>
      </c>
      <c r="D705" t="s">
        <v>2324</v>
      </c>
      <c r="E705">
        <v>0</v>
      </c>
      <c r="F705" t="s">
        <v>1587</v>
      </c>
      <c r="G705" t="s">
        <v>1586</v>
      </c>
      <c r="H705" t="s">
        <v>1579</v>
      </c>
    </row>
    <row r="706" spans="1:8" x14ac:dyDescent="0.25">
      <c r="A706" t="s">
        <v>2221</v>
      </c>
      <c r="B706" t="str">
        <f>VLOOKUP(D706,pgc_pyme!J:M,4,FALSE)</f>
        <v>Reversión del deterioro de existencias</v>
      </c>
      <c r="C706" t="s">
        <v>2542</v>
      </c>
      <c r="D706" t="s">
        <v>2324</v>
      </c>
      <c r="E706">
        <v>0</v>
      </c>
      <c r="F706" t="s">
        <v>1587</v>
      </c>
      <c r="G706" t="s">
        <v>1586</v>
      </c>
      <c r="H706" t="s">
        <v>1579</v>
      </c>
    </row>
    <row r="707" spans="1:8" x14ac:dyDescent="0.25">
      <c r="A707" t="s">
        <v>2222</v>
      </c>
      <c r="B707" t="str">
        <f>VLOOKUP(D707,pgc_pyme!J:M,4,FALSE)</f>
        <v>Reversión del deterioro de existencias</v>
      </c>
      <c r="C707" t="s">
        <v>2543</v>
      </c>
      <c r="D707" t="s">
        <v>2324</v>
      </c>
      <c r="E707">
        <v>0</v>
      </c>
      <c r="F707" t="s">
        <v>1587</v>
      </c>
      <c r="G707" t="s">
        <v>1586</v>
      </c>
      <c r="H707" t="s">
        <v>1579</v>
      </c>
    </row>
    <row r="708" spans="1:8" x14ac:dyDescent="0.25">
      <c r="A708" t="s">
        <v>2223</v>
      </c>
      <c r="B708" t="str">
        <f>VLOOKUP(D708,pgc_pyme!J:M,4,FALSE)</f>
        <v>Excesos y Aplicaciones De Provisiones y De Pérdidas Por Deterioro</v>
      </c>
      <c r="C708" t="s">
        <v>2544</v>
      </c>
      <c r="D708" t="s">
        <v>2323</v>
      </c>
      <c r="E708">
        <v>0</v>
      </c>
      <c r="F708" t="s">
        <v>1587</v>
      </c>
      <c r="G708" t="s">
        <v>1586</v>
      </c>
      <c r="H708" t="s">
        <v>1579</v>
      </c>
    </row>
    <row r="709" spans="1:8" x14ac:dyDescent="0.25">
      <c r="A709" t="s">
        <v>2224</v>
      </c>
      <c r="B709" t="str">
        <f>VLOOKUP(D709,pgc_pyme!J:M,4,FALSE)</f>
        <v>Excesos y Aplicaciones De Provisiones y De Pérdidas Por Deterioro</v>
      </c>
      <c r="C709" t="s">
        <v>2325</v>
      </c>
      <c r="D709" t="s">
        <v>2323</v>
      </c>
      <c r="E709">
        <v>1</v>
      </c>
      <c r="F709" t="s">
        <v>1587</v>
      </c>
      <c r="G709" t="s">
        <v>1586</v>
      </c>
      <c r="H709" t="s">
        <v>1579</v>
      </c>
    </row>
    <row r="710" spans="1:8" x14ac:dyDescent="0.25">
      <c r="A710" t="s">
        <v>2225</v>
      </c>
      <c r="B710" t="str">
        <f>VLOOKUP(D710,pgc_pyme!J:M,4,FALSE)</f>
        <v>Exceso de provisiones</v>
      </c>
      <c r="C710" t="s">
        <v>2545</v>
      </c>
      <c r="D710" t="s">
        <v>2325</v>
      </c>
      <c r="E710">
        <v>0</v>
      </c>
      <c r="F710" t="s">
        <v>1587</v>
      </c>
      <c r="G710" t="s">
        <v>1586</v>
      </c>
      <c r="H710" t="s">
        <v>1579</v>
      </c>
    </row>
    <row r="711" spans="1:8" x14ac:dyDescent="0.25">
      <c r="A711" t="s">
        <v>2226</v>
      </c>
      <c r="B711" t="str">
        <f>VLOOKUP(D711,pgc_pyme!J:M,4,FALSE)</f>
        <v>Exceso de provisiones</v>
      </c>
      <c r="C711" t="s">
        <v>2546</v>
      </c>
      <c r="D711" t="s">
        <v>2325</v>
      </c>
      <c r="E711">
        <v>0</v>
      </c>
      <c r="F711" t="s">
        <v>1587</v>
      </c>
      <c r="G711" t="s">
        <v>1586</v>
      </c>
      <c r="H711" t="s">
        <v>1579</v>
      </c>
    </row>
    <row r="712" spans="1:8" x14ac:dyDescent="0.25">
      <c r="A712" t="s">
        <v>2227</v>
      </c>
      <c r="B712" t="str">
        <f>VLOOKUP(D712,pgc_pyme!J:M,4,FALSE)</f>
        <v>Exceso de provisiones</v>
      </c>
      <c r="C712" t="s">
        <v>2326</v>
      </c>
      <c r="D712" t="s">
        <v>2325</v>
      </c>
      <c r="E712">
        <v>1</v>
      </c>
      <c r="F712" t="s">
        <v>1587</v>
      </c>
      <c r="G712" t="s">
        <v>1586</v>
      </c>
      <c r="H712" t="s">
        <v>1579</v>
      </c>
    </row>
    <row r="713" spans="1:8" x14ac:dyDescent="0.25">
      <c r="A713" t="s">
        <v>2228</v>
      </c>
      <c r="B713" t="str">
        <f>VLOOKUP(D713,pgc_pyme!J:M,4,FALSE)</f>
        <v>Exceso de provisión por operaciones comerciales</v>
      </c>
      <c r="C713" t="s">
        <v>2547</v>
      </c>
      <c r="D713" t="s">
        <v>2326</v>
      </c>
      <c r="E713">
        <v>0</v>
      </c>
      <c r="F713" t="s">
        <v>1587</v>
      </c>
      <c r="G713" t="s">
        <v>1586</v>
      </c>
      <c r="H713" t="s">
        <v>1579</v>
      </c>
    </row>
    <row r="714" spans="1:8" x14ac:dyDescent="0.25">
      <c r="A714" t="s">
        <v>2229</v>
      </c>
      <c r="B714" t="str">
        <f>VLOOKUP(D714,pgc_pyme!J:M,4,FALSE)</f>
        <v>Exceso de provisión por operaciones comerciales</v>
      </c>
      <c r="C714" t="s">
        <v>2548</v>
      </c>
      <c r="D714" t="s">
        <v>2326</v>
      </c>
      <c r="E714">
        <v>0</v>
      </c>
      <c r="F714" t="s">
        <v>1587</v>
      </c>
      <c r="G714" t="s">
        <v>1586</v>
      </c>
      <c r="H714" t="s">
        <v>1579</v>
      </c>
    </row>
    <row r="715" spans="1:8" x14ac:dyDescent="0.25">
      <c r="A715" t="s">
        <v>2230</v>
      </c>
      <c r="B715" t="str">
        <f>VLOOKUP(D715,pgc_pyme!J:M,4,FALSE)</f>
        <v>Exceso de provisiones</v>
      </c>
      <c r="C715" t="s">
        <v>2549</v>
      </c>
      <c r="D715" t="s">
        <v>2325</v>
      </c>
      <c r="E715">
        <v>0</v>
      </c>
      <c r="F715" t="s">
        <v>1587</v>
      </c>
      <c r="G715" t="s">
        <v>1586</v>
      </c>
      <c r="H715" t="s">
        <v>1579</v>
      </c>
    </row>
    <row r="716" spans="1:8" x14ac:dyDescent="0.25">
      <c r="A716" t="s">
        <v>2231</v>
      </c>
      <c r="B716" t="str">
        <f>VLOOKUP(D716,pgc_pyme!J:M,4,FALSE)</f>
        <v>Excesos y Aplicaciones De Provisiones y De Pérdidas Por Deterioro</v>
      </c>
      <c r="C716" t="s">
        <v>2327</v>
      </c>
      <c r="D716" t="s">
        <v>2323</v>
      </c>
      <c r="E716">
        <v>1</v>
      </c>
      <c r="F716" t="s">
        <v>1587</v>
      </c>
      <c r="G716" t="s">
        <v>1586</v>
      </c>
      <c r="H716" t="s">
        <v>1579</v>
      </c>
    </row>
    <row r="717" spans="1:8" x14ac:dyDescent="0.25">
      <c r="A717" t="s">
        <v>2232</v>
      </c>
      <c r="B717" t="str">
        <f>VLOOKUP(D717,pgc_pyme!J:M,4,FALSE)</f>
        <v>Reversión del deterioro de participaciones y valores representativos de deuda a largo plazo</v>
      </c>
      <c r="C717" t="s">
        <v>2550</v>
      </c>
      <c r="D717" t="s">
        <v>2327</v>
      </c>
      <c r="E717">
        <v>0</v>
      </c>
      <c r="F717" t="s">
        <v>1587</v>
      </c>
      <c r="G717" t="s">
        <v>1586</v>
      </c>
      <c r="H717" t="s">
        <v>1579</v>
      </c>
    </row>
    <row r="718" spans="1:8" x14ac:dyDescent="0.25">
      <c r="A718" t="s">
        <v>2233</v>
      </c>
      <c r="B718" t="str">
        <f>VLOOKUP(D718,pgc_pyme!J:M,4,FALSE)</f>
        <v>Reversión del deterioro de participaciones y valores representativos de deuda a largo plazo</v>
      </c>
      <c r="C718" t="s">
        <v>2551</v>
      </c>
      <c r="D718" t="s">
        <v>2327</v>
      </c>
      <c r="E718">
        <v>0</v>
      </c>
      <c r="F718" t="s">
        <v>1587</v>
      </c>
      <c r="G718" t="s">
        <v>1586</v>
      </c>
      <c r="H718" t="s">
        <v>1579</v>
      </c>
    </row>
    <row r="719" spans="1:8" x14ac:dyDescent="0.25">
      <c r="A719" t="s">
        <v>2234</v>
      </c>
      <c r="B719" t="str">
        <f>VLOOKUP(D719,pgc_pyme!J:M,4,FALSE)</f>
        <v>Reversión del deterioro de participaciones y valores representativos de deuda a largo plazo</v>
      </c>
      <c r="C719" t="s">
        <v>2552</v>
      </c>
      <c r="D719" t="s">
        <v>2327</v>
      </c>
      <c r="E719">
        <v>0</v>
      </c>
      <c r="F719" t="s">
        <v>1587</v>
      </c>
      <c r="G719" t="s">
        <v>1586</v>
      </c>
      <c r="H719" t="s">
        <v>1579</v>
      </c>
    </row>
    <row r="720" spans="1:8" x14ac:dyDescent="0.25">
      <c r="A720" t="s">
        <v>2235</v>
      </c>
      <c r="B720" t="str">
        <f>VLOOKUP(D720,pgc_pyme!J:M,4,FALSE)</f>
        <v>Reversión del deterioro de participaciones y valores representativos de deuda a largo plazo</v>
      </c>
      <c r="C720" t="s">
        <v>2553</v>
      </c>
      <c r="D720" t="s">
        <v>2327</v>
      </c>
      <c r="E720">
        <v>0</v>
      </c>
      <c r="F720" t="s">
        <v>1587</v>
      </c>
      <c r="G720" t="s">
        <v>1586</v>
      </c>
      <c r="H720" t="s">
        <v>1579</v>
      </c>
    </row>
    <row r="721" spans="1:8" x14ac:dyDescent="0.25">
      <c r="A721" t="s">
        <v>2236</v>
      </c>
      <c r="B721" t="str">
        <f>VLOOKUP(D721,pgc_pyme!J:M,4,FALSE)</f>
        <v>Reversión del deterioro de participaciones y valores representativos de deuda a largo plazo</v>
      </c>
      <c r="C721" t="s">
        <v>2554</v>
      </c>
      <c r="D721" t="s">
        <v>2327</v>
      </c>
      <c r="E721">
        <v>0</v>
      </c>
      <c r="F721" t="s">
        <v>1587</v>
      </c>
      <c r="G721" t="s">
        <v>1586</v>
      </c>
      <c r="H721" t="s">
        <v>1579</v>
      </c>
    </row>
    <row r="722" spans="1:8" x14ac:dyDescent="0.25">
      <c r="A722" t="s">
        <v>2237</v>
      </c>
      <c r="B722" t="str">
        <f>VLOOKUP(D722,pgc_pyme!J:M,4,FALSE)</f>
        <v>Reversión del deterioro de participaciones y valores representativos de deuda a largo plazo</v>
      </c>
      <c r="C722" t="s">
        <v>2555</v>
      </c>
      <c r="D722" t="s">
        <v>2327</v>
      </c>
      <c r="E722">
        <v>0</v>
      </c>
      <c r="F722" t="s">
        <v>1587</v>
      </c>
      <c r="G722" t="s">
        <v>1586</v>
      </c>
      <c r="H722" t="s">
        <v>1579</v>
      </c>
    </row>
    <row r="723" spans="1:8" x14ac:dyDescent="0.25">
      <c r="A723" t="s">
        <v>2238</v>
      </c>
      <c r="B723" t="str">
        <f>VLOOKUP(D723,pgc_pyme!J:M,4,FALSE)</f>
        <v>Excesos y Aplicaciones De Provisiones y De Pérdidas Por Deterioro</v>
      </c>
      <c r="C723" t="s">
        <v>2328</v>
      </c>
      <c r="D723" t="s">
        <v>2323</v>
      </c>
      <c r="E723">
        <v>1</v>
      </c>
      <c r="F723" t="s">
        <v>1587</v>
      </c>
      <c r="G723" t="s">
        <v>1586</v>
      </c>
      <c r="H723" t="s">
        <v>1579</v>
      </c>
    </row>
    <row r="724" spans="1:8" x14ac:dyDescent="0.25">
      <c r="A724" t="s">
        <v>2239</v>
      </c>
      <c r="B724" t="str">
        <f>VLOOKUP(D724,pgc_pyme!J:M,4,FALSE)</f>
        <v>Reversión del deterioro de créditos a largo plazo</v>
      </c>
      <c r="C724" t="s">
        <v>2556</v>
      </c>
      <c r="D724" t="s">
        <v>2328</v>
      </c>
      <c r="E724">
        <v>0</v>
      </c>
      <c r="F724" t="s">
        <v>1587</v>
      </c>
      <c r="G724" t="s">
        <v>1586</v>
      </c>
      <c r="H724" t="s">
        <v>1579</v>
      </c>
    </row>
    <row r="725" spans="1:8" x14ac:dyDescent="0.25">
      <c r="A725" t="s">
        <v>2240</v>
      </c>
      <c r="B725" t="str">
        <f>VLOOKUP(D725,pgc_pyme!J:M,4,FALSE)</f>
        <v>Reversión del deterioro de créditos a largo plazo</v>
      </c>
      <c r="C725" t="s">
        <v>2557</v>
      </c>
      <c r="D725" t="s">
        <v>2328</v>
      </c>
      <c r="E725">
        <v>0</v>
      </c>
      <c r="F725" t="s">
        <v>1587</v>
      </c>
      <c r="G725" t="s">
        <v>1586</v>
      </c>
      <c r="H725" t="s">
        <v>1579</v>
      </c>
    </row>
    <row r="726" spans="1:8" x14ac:dyDescent="0.25">
      <c r="A726" t="s">
        <v>2241</v>
      </c>
      <c r="B726" t="str">
        <f>VLOOKUP(D726,pgc_pyme!J:M,4,FALSE)</f>
        <v>Reversión del deterioro de créditos a largo plazo</v>
      </c>
      <c r="C726" t="s">
        <v>2558</v>
      </c>
      <c r="D726" t="s">
        <v>2328</v>
      </c>
      <c r="E726">
        <v>0</v>
      </c>
      <c r="F726" t="s">
        <v>1587</v>
      </c>
      <c r="G726" t="s">
        <v>1586</v>
      </c>
      <c r="H726" t="s">
        <v>1579</v>
      </c>
    </row>
    <row r="727" spans="1:8" x14ac:dyDescent="0.25">
      <c r="A727" t="s">
        <v>2242</v>
      </c>
      <c r="B727" t="str">
        <f>VLOOKUP(D727,pgc_pyme!J:M,4,FALSE)</f>
        <v>Reversión del deterioro de créditos a largo plazo</v>
      </c>
      <c r="C727" t="s">
        <v>2559</v>
      </c>
      <c r="D727" t="s">
        <v>2328</v>
      </c>
      <c r="E727">
        <v>0</v>
      </c>
      <c r="F727" t="s">
        <v>1587</v>
      </c>
      <c r="G727" t="s">
        <v>1586</v>
      </c>
      <c r="H727" t="s">
        <v>1579</v>
      </c>
    </row>
    <row r="728" spans="1:8" x14ac:dyDescent="0.25">
      <c r="A728" t="s">
        <v>2243</v>
      </c>
      <c r="B728" t="str">
        <f>VLOOKUP(D728,pgc_pyme!J:M,4,FALSE)</f>
        <v>Excesos y Aplicaciones De Provisiones y De Pérdidas Por Deterioro</v>
      </c>
      <c r="C728" t="s">
        <v>2329</v>
      </c>
      <c r="D728" t="s">
        <v>2323</v>
      </c>
      <c r="E728">
        <v>1</v>
      </c>
      <c r="F728" t="s">
        <v>1587</v>
      </c>
      <c r="G728" t="s">
        <v>1586</v>
      </c>
      <c r="H728" t="s">
        <v>1579</v>
      </c>
    </row>
    <row r="729" spans="1:8" x14ac:dyDescent="0.25">
      <c r="A729" t="s">
        <v>2244</v>
      </c>
      <c r="B729" t="str">
        <f>VLOOKUP(D729,pgc_pyme!J:M,4,FALSE)</f>
        <v>Reversión del deterioro de participaciones y valores representativos de deuda a corto plazo</v>
      </c>
      <c r="C729" t="s">
        <v>2560</v>
      </c>
      <c r="D729" t="s">
        <v>2329</v>
      </c>
      <c r="E729">
        <v>0</v>
      </c>
      <c r="F729" t="s">
        <v>1587</v>
      </c>
      <c r="G729" t="s">
        <v>1586</v>
      </c>
      <c r="H729" t="s">
        <v>1579</v>
      </c>
    </row>
    <row r="730" spans="1:8" x14ac:dyDescent="0.25">
      <c r="A730" t="s">
        <v>2245</v>
      </c>
      <c r="B730" t="str">
        <f>VLOOKUP(D730,pgc_pyme!J:M,4,FALSE)</f>
        <v>Reversión del deterioro de participaciones y valores representativos de deuda a corto plazo</v>
      </c>
      <c r="C730" t="s">
        <v>2561</v>
      </c>
      <c r="D730" t="s">
        <v>2329</v>
      </c>
      <c r="E730">
        <v>0</v>
      </c>
      <c r="F730" t="s">
        <v>1587</v>
      </c>
      <c r="G730" t="s">
        <v>1586</v>
      </c>
      <c r="H730" t="s">
        <v>1579</v>
      </c>
    </row>
    <row r="731" spans="1:8" x14ac:dyDescent="0.25">
      <c r="A731" t="s">
        <v>2246</v>
      </c>
      <c r="B731" t="str">
        <f>VLOOKUP(D731,pgc_pyme!J:M,4,FALSE)</f>
        <v>Reversión del deterioro de participaciones y valores representativos de deuda a corto plazo</v>
      </c>
      <c r="C731" t="s">
        <v>2562</v>
      </c>
      <c r="D731" t="s">
        <v>2329</v>
      </c>
      <c r="E731">
        <v>0</v>
      </c>
      <c r="F731" t="s">
        <v>1587</v>
      </c>
      <c r="G731" t="s">
        <v>1586</v>
      </c>
      <c r="H731" t="s">
        <v>1579</v>
      </c>
    </row>
    <row r="732" spans="1:8" x14ac:dyDescent="0.25">
      <c r="A732" t="s">
        <v>2247</v>
      </c>
      <c r="B732" t="str">
        <f>VLOOKUP(D732,pgc_pyme!J:M,4,FALSE)</f>
        <v>Reversión del deterioro de participaciones y valores representativos de deuda a corto plazo</v>
      </c>
      <c r="C732" t="s">
        <v>2563</v>
      </c>
      <c r="D732" t="s">
        <v>2329</v>
      </c>
      <c r="E732">
        <v>0</v>
      </c>
      <c r="F732" t="s">
        <v>1587</v>
      </c>
      <c r="G732" t="s">
        <v>1586</v>
      </c>
      <c r="H732" t="s">
        <v>1579</v>
      </c>
    </row>
    <row r="733" spans="1:8" x14ac:dyDescent="0.25">
      <c r="A733" t="s">
        <v>2248</v>
      </c>
      <c r="B733" t="str">
        <f>VLOOKUP(D733,pgc_pyme!J:M,4,FALSE)</f>
        <v>Reversión del deterioro de participaciones y valores representativos de deuda a corto plazo</v>
      </c>
      <c r="C733" t="s">
        <v>2564</v>
      </c>
      <c r="D733" t="s">
        <v>2329</v>
      </c>
      <c r="E733">
        <v>0</v>
      </c>
      <c r="F733" t="s">
        <v>1587</v>
      </c>
      <c r="G733" t="s">
        <v>1586</v>
      </c>
      <c r="H733" t="s">
        <v>1579</v>
      </c>
    </row>
    <row r="734" spans="1:8" x14ac:dyDescent="0.25">
      <c r="A734" t="s">
        <v>2249</v>
      </c>
      <c r="B734" t="str">
        <f>VLOOKUP(D734,pgc_pyme!J:M,4,FALSE)</f>
        <v>Reversión del deterioro de participaciones y valores representativos de deuda a corto plazo</v>
      </c>
      <c r="C734" t="s">
        <v>2565</v>
      </c>
      <c r="D734" t="s">
        <v>2329</v>
      </c>
      <c r="E734">
        <v>0</v>
      </c>
      <c r="F734" t="s">
        <v>1587</v>
      </c>
      <c r="G734" t="s">
        <v>1586</v>
      </c>
      <c r="H734" t="s">
        <v>1579</v>
      </c>
    </row>
    <row r="735" spans="1:8" x14ac:dyDescent="0.25">
      <c r="A735" t="s">
        <v>2250</v>
      </c>
      <c r="B735" t="str">
        <f>VLOOKUP(D735,pgc_pyme!J:M,4,FALSE)</f>
        <v>Excesos y Aplicaciones De Provisiones y De Pérdidas Por Deterioro</v>
      </c>
      <c r="C735" t="s">
        <v>2330</v>
      </c>
      <c r="D735" t="s">
        <v>2323</v>
      </c>
      <c r="E735">
        <v>1</v>
      </c>
      <c r="F735" t="s">
        <v>1587</v>
      </c>
      <c r="G735" t="s">
        <v>1586</v>
      </c>
      <c r="H735" t="s">
        <v>1579</v>
      </c>
    </row>
    <row r="736" spans="1:8" x14ac:dyDescent="0.25">
      <c r="A736" t="s">
        <v>2251</v>
      </c>
      <c r="B736" t="str">
        <f>VLOOKUP(D736,pgc_pyme!J:M,4,FALSE)</f>
        <v>Reversión del deterioro de créditos a corto plazo</v>
      </c>
      <c r="C736" t="s">
        <v>2566</v>
      </c>
      <c r="D736" t="s">
        <v>2330</v>
      </c>
      <c r="E736">
        <v>0</v>
      </c>
      <c r="F736" t="s">
        <v>1587</v>
      </c>
      <c r="G736" t="s">
        <v>1586</v>
      </c>
      <c r="H736" t="s">
        <v>1579</v>
      </c>
    </row>
    <row r="737" spans="1:8" x14ac:dyDescent="0.25">
      <c r="A737" t="s">
        <v>2252</v>
      </c>
      <c r="B737" t="str">
        <f>VLOOKUP(D737,pgc_pyme!J:M,4,FALSE)</f>
        <v>Reversión del deterioro de créditos a corto plazo</v>
      </c>
      <c r="C737" t="s">
        <v>2567</v>
      </c>
      <c r="D737" t="s">
        <v>2330</v>
      </c>
      <c r="E737">
        <v>0</v>
      </c>
      <c r="F737" t="s">
        <v>1587</v>
      </c>
      <c r="G737" t="s">
        <v>1586</v>
      </c>
      <c r="H737" t="s">
        <v>1579</v>
      </c>
    </row>
    <row r="738" spans="1:8" x14ac:dyDescent="0.25">
      <c r="A738" t="s">
        <v>2253</v>
      </c>
      <c r="B738" t="str">
        <f>VLOOKUP(D738,pgc_pyme!J:M,4,FALSE)</f>
        <v>Reversión del deterioro de créditos a corto plazo</v>
      </c>
      <c r="C738" t="s">
        <v>2568</v>
      </c>
      <c r="D738" t="s">
        <v>2330</v>
      </c>
      <c r="E738">
        <v>0</v>
      </c>
      <c r="F738" t="s">
        <v>1587</v>
      </c>
      <c r="G738" t="s">
        <v>1586</v>
      </c>
      <c r="H738" t="s">
        <v>1579</v>
      </c>
    </row>
    <row r="739" spans="1:8" x14ac:dyDescent="0.25">
      <c r="A739" t="s">
        <v>2254</v>
      </c>
      <c r="B739" t="str">
        <f>VLOOKUP(D739,pgc_pyme!J:M,4,FALSE)</f>
        <v>Reversión del deterioro de créditos a corto plazo</v>
      </c>
      <c r="C739" t="s">
        <v>2569</v>
      </c>
      <c r="D739" t="s">
        <v>2330</v>
      </c>
      <c r="E739">
        <v>0</v>
      </c>
      <c r="F739" t="s">
        <v>1587</v>
      </c>
      <c r="G739" t="s">
        <v>1586</v>
      </c>
      <c r="H739" t="s">
        <v>1579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R741"/>
  <sheetViews>
    <sheetView zoomScale="85" zoomScaleNormal="85" workbookViewId="0">
      <selection activeCell="M28" sqref="M28"/>
    </sheetView>
  </sheetViews>
  <sheetFormatPr defaultColWidth="11" defaultRowHeight="15.75" x14ac:dyDescent="0.25"/>
  <cols>
    <col min="2" max="2" width="3.875" customWidth="1"/>
    <col min="3" max="3" width="8.125" customWidth="1"/>
    <col min="4" max="4" width="8.125" style="14" customWidth="1"/>
    <col min="5" max="8" width="8.125" customWidth="1"/>
    <col min="9" max="9" width="14.125" customWidth="1"/>
    <col min="10" max="10" width="14.125" style="2" customWidth="1"/>
    <col min="11" max="12" width="14.125" customWidth="1"/>
    <col min="13" max="13" width="106.875" customWidth="1"/>
  </cols>
  <sheetData>
    <row r="1" spans="3:18" x14ac:dyDescent="0.25">
      <c r="M1" s="1" t="s">
        <v>3</v>
      </c>
    </row>
    <row r="2" spans="3:18" x14ac:dyDescent="0.25">
      <c r="E2" s="3"/>
    </row>
    <row r="3" spans="3:18" s="4" customFormat="1" ht="31.5" x14ac:dyDescent="0.25">
      <c r="C3" s="7" t="s">
        <v>2652</v>
      </c>
      <c r="D3" s="15" t="s">
        <v>1</v>
      </c>
      <c r="E3" s="7" t="s">
        <v>6</v>
      </c>
      <c r="F3" s="7" t="s">
        <v>4</v>
      </c>
      <c r="G3" s="7" t="s">
        <v>5</v>
      </c>
      <c r="H3" s="7" t="s">
        <v>7</v>
      </c>
      <c r="I3" s="7" t="s">
        <v>2667</v>
      </c>
      <c r="J3" s="8" t="s">
        <v>2260</v>
      </c>
      <c r="K3" s="7" t="s">
        <v>4</v>
      </c>
      <c r="L3" s="7" t="s">
        <v>2263</v>
      </c>
      <c r="M3" s="7" t="s">
        <v>2</v>
      </c>
      <c r="N3" s="7" t="s">
        <v>1575</v>
      </c>
      <c r="O3" s="7" t="s">
        <v>2261</v>
      </c>
    </row>
    <row r="4" spans="3:18" x14ac:dyDescent="0.25">
      <c r="C4" s="9">
        <v>1</v>
      </c>
      <c r="D4" s="17"/>
      <c r="E4" s="10"/>
      <c r="F4" s="9"/>
      <c r="G4" s="10">
        <v>1</v>
      </c>
      <c r="H4" s="9" t="b">
        <v>1</v>
      </c>
      <c r="I4" s="9"/>
      <c r="J4" s="2" t="s">
        <v>2264</v>
      </c>
      <c r="K4" s="9"/>
      <c r="L4" s="9"/>
      <c r="M4" s="2" t="s">
        <v>2255</v>
      </c>
      <c r="N4" s="2" t="s">
        <v>1578</v>
      </c>
      <c r="O4" t="str">
        <f t="shared" ref="O4:O67" si="0">IFERROR(VLOOKUP(N4,$Q$4:$R$9,2,FALSE),"")</f>
        <v>1.A</v>
      </c>
      <c r="Q4" t="s">
        <v>2262</v>
      </c>
      <c r="R4" t="s">
        <v>2261</v>
      </c>
    </row>
    <row r="5" spans="3:18" x14ac:dyDescent="0.25">
      <c r="C5" s="9">
        <v>2</v>
      </c>
      <c r="D5" s="17"/>
      <c r="E5" s="10"/>
      <c r="F5" s="9"/>
      <c r="G5" s="10">
        <v>1</v>
      </c>
      <c r="H5" s="9" t="b">
        <v>1</v>
      </c>
      <c r="I5" s="9"/>
      <c r="J5" s="2" t="s">
        <v>2265</v>
      </c>
      <c r="K5" s="9"/>
      <c r="L5" s="9"/>
      <c r="M5" s="2" t="s">
        <v>2256</v>
      </c>
      <c r="N5" s="2" t="s">
        <v>1581</v>
      </c>
      <c r="O5" t="str">
        <f t="shared" si="0"/>
        <v>2.P</v>
      </c>
      <c r="Q5" t="s">
        <v>1578</v>
      </c>
      <c r="R5" t="s">
        <v>2264</v>
      </c>
    </row>
    <row r="6" spans="3:18" x14ac:dyDescent="0.25">
      <c r="C6" s="9">
        <v>3</v>
      </c>
      <c r="D6" s="17"/>
      <c r="E6" s="2"/>
      <c r="F6" s="9"/>
      <c r="G6" s="10">
        <v>1</v>
      </c>
      <c r="H6" s="9" t="b">
        <v>1</v>
      </c>
      <c r="I6" s="9"/>
      <c r="J6" s="2" t="s">
        <v>2266</v>
      </c>
      <c r="K6" s="9"/>
      <c r="L6" s="9"/>
      <c r="M6" s="2" t="s">
        <v>2257</v>
      </c>
      <c r="N6" s="2" t="s">
        <v>1582</v>
      </c>
      <c r="O6" t="str">
        <f t="shared" si="0"/>
        <v>3.E</v>
      </c>
      <c r="Q6" t="s">
        <v>1581</v>
      </c>
      <c r="R6" t="s">
        <v>2265</v>
      </c>
    </row>
    <row r="7" spans="3:18" x14ac:dyDescent="0.25">
      <c r="C7" s="9">
        <v>4</v>
      </c>
      <c r="D7" s="17"/>
      <c r="E7" s="2"/>
      <c r="F7" s="9"/>
      <c r="G7" s="10">
        <v>1</v>
      </c>
      <c r="H7" s="9" t="b">
        <v>1</v>
      </c>
      <c r="I7" s="9"/>
      <c r="J7" s="2" t="s">
        <v>2268</v>
      </c>
      <c r="K7" s="9"/>
      <c r="L7" s="9"/>
      <c r="M7" s="2" t="s">
        <v>2258</v>
      </c>
      <c r="N7" s="2" t="s">
        <v>1585</v>
      </c>
      <c r="O7" t="str">
        <f t="shared" si="0"/>
        <v>5.G</v>
      </c>
      <c r="Q7" t="s">
        <v>1582</v>
      </c>
      <c r="R7" t="s">
        <v>2266</v>
      </c>
    </row>
    <row r="8" spans="3:18" x14ac:dyDescent="0.25">
      <c r="C8" s="9">
        <v>5</v>
      </c>
      <c r="D8" s="17"/>
      <c r="E8" s="2"/>
      <c r="F8" s="9"/>
      <c r="G8" s="10">
        <v>1</v>
      </c>
      <c r="H8" s="9" t="b">
        <v>1</v>
      </c>
      <c r="I8" s="9"/>
      <c r="J8" s="2" t="s">
        <v>2267</v>
      </c>
      <c r="K8" s="9"/>
      <c r="L8" s="9"/>
      <c r="M8" s="2" t="s">
        <v>2259</v>
      </c>
      <c r="N8" s="2" t="s">
        <v>1586</v>
      </c>
      <c r="O8" t="str">
        <f t="shared" si="0"/>
        <v>4.I</v>
      </c>
      <c r="Q8" t="s">
        <v>1585</v>
      </c>
      <c r="R8" t="s">
        <v>2268</v>
      </c>
    </row>
    <row r="9" spans="3:18" x14ac:dyDescent="0.25">
      <c r="C9" s="9">
        <v>8</v>
      </c>
      <c r="D9" s="17"/>
      <c r="E9" s="2"/>
      <c r="F9" s="9"/>
      <c r="G9" s="10">
        <v>1</v>
      </c>
      <c r="H9" s="9" t="b">
        <v>1</v>
      </c>
      <c r="I9" s="9"/>
      <c r="J9" s="2" t="s">
        <v>2572</v>
      </c>
      <c r="K9" s="10" t="s">
        <v>2264</v>
      </c>
      <c r="L9" s="10" t="str">
        <f t="shared" ref="L9:L72" si="1">VLOOKUP(K9,J:J,1,FALSE)</f>
        <v>1.A</v>
      </c>
      <c r="M9" s="2" t="s">
        <v>0</v>
      </c>
      <c r="N9" s="2" t="s">
        <v>1578</v>
      </c>
      <c r="O9" t="str">
        <f t="shared" si="0"/>
        <v>1.A</v>
      </c>
      <c r="Q9" t="s">
        <v>1586</v>
      </c>
      <c r="R9" t="s">
        <v>2267</v>
      </c>
    </row>
    <row r="10" spans="3:18" x14ac:dyDescent="0.25">
      <c r="C10" s="9">
        <v>9</v>
      </c>
      <c r="D10" s="17"/>
      <c r="E10" s="2"/>
      <c r="F10" s="9"/>
      <c r="G10" s="10">
        <v>1</v>
      </c>
      <c r="H10" s="9" t="b">
        <v>1</v>
      </c>
      <c r="I10" s="9"/>
      <c r="J10" s="2" t="s">
        <v>2582</v>
      </c>
      <c r="K10" s="10" t="str">
        <f>LEFT(J10,LEN(J10)-2)</f>
        <v>1.A.1</v>
      </c>
      <c r="L10" s="10" t="str">
        <f t="shared" si="1"/>
        <v>1.A.1</v>
      </c>
      <c r="M10" s="2" t="s">
        <v>2579</v>
      </c>
      <c r="N10" s="2" t="s">
        <v>1578</v>
      </c>
      <c r="O10" t="str">
        <f t="shared" si="0"/>
        <v>1.A</v>
      </c>
    </row>
    <row r="11" spans="3:18" x14ac:dyDescent="0.25">
      <c r="C11" s="9">
        <v>10</v>
      </c>
      <c r="D11" s="17"/>
      <c r="E11" s="2"/>
      <c r="F11" s="9"/>
      <c r="G11" s="10">
        <v>1</v>
      </c>
      <c r="H11" s="9" t="b">
        <v>1</v>
      </c>
      <c r="I11" s="9"/>
      <c r="J11" s="2" t="s">
        <v>2654</v>
      </c>
      <c r="K11" s="10" t="str">
        <f t="shared" ref="K11:K57" si="2">LEFT(J11,LEN(J11)-2)</f>
        <v>1.A.1</v>
      </c>
      <c r="L11" s="10" t="str">
        <f t="shared" si="1"/>
        <v>1.A.1</v>
      </c>
      <c r="M11" s="2" t="s">
        <v>2580</v>
      </c>
      <c r="N11" s="2" t="s">
        <v>1578</v>
      </c>
      <c r="O11" t="str">
        <f t="shared" si="0"/>
        <v>1.A</v>
      </c>
    </row>
    <row r="12" spans="3:18" x14ac:dyDescent="0.25">
      <c r="C12" s="9">
        <v>11</v>
      </c>
      <c r="D12" s="17"/>
      <c r="E12" s="2"/>
      <c r="F12" s="9"/>
      <c r="G12" s="10">
        <v>1</v>
      </c>
      <c r="H12" s="9" t="b">
        <v>1</v>
      </c>
      <c r="I12" s="9"/>
      <c r="J12" s="2" t="s">
        <v>2655</v>
      </c>
      <c r="K12" s="10" t="str">
        <f t="shared" si="2"/>
        <v>1.A.1</v>
      </c>
      <c r="L12" s="10" t="str">
        <f t="shared" si="1"/>
        <v>1.A.1</v>
      </c>
      <c r="M12" s="2" t="s">
        <v>2581</v>
      </c>
      <c r="N12" s="2" t="s">
        <v>1578</v>
      </c>
      <c r="O12" t="str">
        <f t="shared" si="0"/>
        <v>1.A</v>
      </c>
    </row>
    <row r="13" spans="3:18" x14ac:dyDescent="0.25">
      <c r="C13" s="9">
        <v>12</v>
      </c>
      <c r="D13" s="17"/>
      <c r="E13" s="2"/>
      <c r="F13" s="9"/>
      <c r="G13" s="10">
        <v>1</v>
      </c>
      <c r="H13" s="9" t="b">
        <v>1</v>
      </c>
      <c r="I13" s="9"/>
      <c r="J13" s="2" t="s">
        <v>2656</v>
      </c>
      <c r="K13" s="10" t="str">
        <f t="shared" si="2"/>
        <v>1.A.1</v>
      </c>
      <c r="L13" s="10" t="str">
        <f t="shared" si="1"/>
        <v>1.A.1</v>
      </c>
      <c r="M13" s="2" t="s">
        <v>2583</v>
      </c>
      <c r="N13" s="2" t="s">
        <v>1578</v>
      </c>
      <c r="O13" t="str">
        <f t="shared" si="0"/>
        <v>1.A</v>
      </c>
    </row>
    <row r="14" spans="3:18" x14ac:dyDescent="0.25">
      <c r="C14" s="9">
        <v>13</v>
      </c>
      <c r="D14" s="17"/>
      <c r="E14" s="2"/>
      <c r="F14" s="9"/>
      <c r="G14" s="10">
        <v>1</v>
      </c>
      <c r="H14" s="9" t="b">
        <v>1</v>
      </c>
      <c r="I14" s="9"/>
      <c r="J14" s="2" t="s">
        <v>2657</v>
      </c>
      <c r="K14" s="10" t="str">
        <f t="shared" si="2"/>
        <v>1.A.1</v>
      </c>
      <c r="L14" s="10" t="str">
        <f t="shared" si="1"/>
        <v>1.A.1</v>
      </c>
      <c r="M14" s="2" t="s">
        <v>2584</v>
      </c>
      <c r="N14" s="2" t="s">
        <v>1578</v>
      </c>
      <c r="O14" t="str">
        <f t="shared" si="0"/>
        <v>1.A</v>
      </c>
    </row>
    <row r="15" spans="3:18" x14ac:dyDescent="0.25">
      <c r="C15" s="9">
        <v>14</v>
      </c>
      <c r="D15" s="17"/>
      <c r="E15" s="2"/>
      <c r="F15" s="9"/>
      <c r="G15" s="10">
        <v>1</v>
      </c>
      <c r="H15" s="9" t="b">
        <v>1</v>
      </c>
      <c r="I15" s="9"/>
      <c r="J15" s="2" t="s">
        <v>2658</v>
      </c>
      <c r="K15" s="10" t="str">
        <f t="shared" si="2"/>
        <v>1.A.1</v>
      </c>
      <c r="L15" s="10" t="str">
        <f t="shared" si="1"/>
        <v>1.A.1</v>
      </c>
      <c r="M15" s="2" t="s">
        <v>1851</v>
      </c>
      <c r="N15" s="2" t="s">
        <v>1578</v>
      </c>
      <c r="O15" t="str">
        <f t="shared" si="0"/>
        <v>1.A</v>
      </c>
    </row>
    <row r="16" spans="3:18" x14ac:dyDescent="0.25">
      <c r="C16" s="9">
        <v>15</v>
      </c>
      <c r="D16" s="17"/>
      <c r="E16" s="2"/>
      <c r="F16" s="9"/>
      <c r="G16" s="10">
        <v>1</v>
      </c>
      <c r="H16" s="9" t="b">
        <v>1</v>
      </c>
      <c r="I16" s="9"/>
      <c r="J16" s="2" t="s">
        <v>2271</v>
      </c>
      <c r="K16" s="10" t="str">
        <f t="shared" si="2"/>
        <v>1.A</v>
      </c>
      <c r="L16" s="10" t="str">
        <f t="shared" si="1"/>
        <v>1.A</v>
      </c>
      <c r="M16" s="2" t="s">
        <v>2662</v>
      </c>
      <c r="N16" s="2" t="s">
        <v>1578</v>
      </c>
      <c r="O16" t="str">
        <f t="shared" si="0"/>
        <v>1.A</v>
      </c>
    </row>
    <row r="17" spans="3:15" x14ac:dyDescent="0.25">
      <c r="C17" s="9">
        <v>16</v>
      </c>
      <c r="D17" s="17"/>
      <c r="E17" s="2"/>
      <c r="F17" s="9"/>
      <c r="G17" s="10">
        <v>1</v>
      </c>
      <c r="H17" s="9" t="b">
        <v>1</v>
      </c>
      <c r="I17" s="9"/>
      <c r="J17" s="2" t="s">
        <v>2587</v>
      </c>
      <c r="K17" s="10" t="str">
        <f t="shared" si="2"/>
        <v>1.A.2</v>
      </c>
      <c r="L17" s="10" t="str">
        <f t="shared" si="1"/>
        <v>1.A.2</v>
      </c>
      <c r="M17" s="2" t="s">
        <v>2586</v>
      </c>
      <c r="N17" s="2" t="s">
        <v>1578</v>
      </c>
      <c r="O17" t="str">
        <f t="shared" si="0"/>
        <v>1.A</v>
      </c>
    </row>
    <row r="18" spans="3:15" x14ac:dyDescent="0.25">
      <c r="C18" s="9">
        <v>17</v>
      </c>
      <c r="D18" s="17"/>
      <c r="E18" s="2"/>
      <c r="F18" s="9"/>
      <c r="G18" s="10">
        <v>1</v>
      </c>
      <c r="H18" s="9" t="b">
        <v>1</v>
      </c>
      <c r="I18" s="9"/>
      <c r="J18" s="2" t="s">
        <v>2589</v>
      </c>
      <c r="K18" s="10" t="str">
        <f t="shared" si="2"/>
        <v>1.A.2</v>
      </c>
      <c r="L18" s="10" t="str">
        <f t="shared" si="1"/>
        <v>1.A.2</v>
      </c>
      <c r="M18" s="2" t="s">
        <v>2588</v>
      </c>
      <c r="N18" s="2" t="s">
        <v>1578</v>
      </c>
      <c r="O18" t="str">
        <f t="shared" si="0"/>
        <v>1.A</v>
      </c>
    </row>
    <row r="19" spans="3:15" x14ac:dyDescent="0.25">
      <c r="C19" s="9">
        <v>18</v>
      </c>
      <c r="D19" s="17"/>
      <c r="E19" s="2"/>
      <c r="F19" s="9"/>
      <c r="G19" s="10">
        <v>1</v>
      </c>
      <c r="H19" s="9" t="b">
        <v>1</v>
      </c>
      <c r="I19" s="9"/>
      <c r="J19" s="2" t="s">
        <v>2591</v>
      </c>
      <c r="K19" s="10" t="str">
        <f t="shared" si="2"/>
        <v>1.A.2.2</v>
      </c>
      <c r="L19" s="10" t="str">
        <f t="shared" si="1"/>
        <v>1.A.2.2</v>
      </c>
      <c r="M19" s="2" t="s">
        <v>2590</v>
      </c>
      <c r="N19" s="2" t="s">
        <v>1578</v>
      </c>
      <c r="O19" t="str">
        <f t="shared" si="0"/>
        <v>1.A</v>
      </c>
    </row>
    <row r="20" spans="3:15" x14ac:dyDescent="0.25">
      <c r="C20" s="9">
        <v>19</v>
      </c>
      <c r="D20" s="17"/>
      <c r="E20" s="2"/>
      <c r="F20" s="9"/>
      <c r="G20" s="10">
        <v>1</v>
      </c>
      <c r="H20" s="9" t="b">
        <v>1</v>
      </c>
      <c r="I20" s="9"/>
      <c r="J20" s="2" t="s">
        <v>2593</v>
      </c>
      <c r="K20" s="10" t="str">
        <f t="shared" si="2"/>
        <v>1.A.2.2</v>
      </c>
      <c r="L20" s="10" t="str">
        <f t="shared" si="1"/>
        <v>1.A.2.2</v>
      </c>
      <c r="M20" s="2" t="s">
        <v>2592</v>
      </c>
      <c r="N20" s="2" t="s">
        <v>1578</v>
      </c>
      <c r="O20" t="str">
        <f t="shared" si="0"/>
        <v>1.A</v>
      </c>
    </row>
    <row r="21" spans="3:15" x14ac:dyDescent="0.25">
      <c r="C21" s="9">
        <v>20</v>
      </c>
      <c r="D21" s="17"/>
      <c r="E21" s="2"/>
      <c r="F21" s="9"/>
      <c r="G21" s="10">
        <v>1</v>
      </c>
      <c r="H21" s="9" t="b">
        <v>1</v>
      </c>
      <c r="I21" s="9"/>
      <c r="J21" s="2" t="s">
        <v>2595</v>
      </c>
      <c r="K21" s="10" t="str">
        <f t="shared" si="2"/>
        <v>1.A.2.2</v>
      </c>
      <c r="L21" s="10" t="str">
        <f t="shared" si="1"/>
        <v>1.A.2.2</v>
      </c>
      <c r="M21" s="2" t="s">
        <v>2594</v>
      </c>
      <c r="N21" s="2" t="s">
        <v>1578</v>
      </c>
      <c r="O21" t="str">
        <f t="shared" si="0"/>
        <v>1.A</v>
      </c>
    </row>
    <row r="22" spans="3:15" x14ac:dyDescent="0.25">
      <c r="C22" s="9">
        <v>21</v>
      </c>
      <c r="D22" s="17"/>
      <c r="E22" s="2"/>
      <c r="F22" s="9"/>
      <c r="G22" s="10">
        <v>1</v>
      </c>
      <c r="H22" s="9" t="b">
        <v>1</v>
      </c>
      <c r="I22" s="9"/>
      <c r="J22" s="2" t="s">
        <v>2597</v>
      </c>
      <c r="K22" s="10" t="str">
        <f t="shared" si="2"/>
        <v>1.A.2</v>
      </c>
      <c r="L22" s="10" t="str">
        <f t="shared" si="1"/>
        <v>1.A.2</v>
      </c>
      <c r="M22" s="2" t="s">
        <v>2596</v>
      </c>
      <c r="N22" s="2" t="s">
        <v>1578</v>
      </c>
      <c r="O22" t="str">
        <f t="shared" si="0"/>
        <v>1.A</v>
      </c>
    </row>
    <row r="23" spans="3:15" x14ac:dyDescent="0.25">
      <c r="C23" s="9">
        <v>22</v>
      </c>
      <c r="D23" s="17"/>
      <c r="E23" s="2"/>
      <c r="F23" s="9"/>
      <c r="G23" s="10">
        <v>1</v>
      </c>
      <c r="H23" s="9" t="b">
        <v>1</v>
      </c>
      <c r="I23" s="9"/>
      <c r="J23" s="2" t="s">
        <v>2598</v>
      </c>
      <c r="K23" s="10" t="str">
        <f t="shared" si="2"/>
        <v>1.A.2</v>
      </c>
      <c r="L23" s="10" t="str">
        <f t="shared" si="1"/>
        <v>1.A.2</v>
      </c>
      <c r="M23" s="2" t="s">
        <v>2599</v>
      </c>
      <c r="N23" s="2" t="s">
        <v>1578</v>
      </c>
      <c r="O23" t="str">
        <f t="shared" si="0"/>
        <v>1.A</v>
      </c>
    </row>
    <row r="24" spans="3:15" x14ac:dyDescent="0.25">
      <c r="C24" s="9">
        <v>23</v>
      </c>
      <c r="D24" s="17"/>
      <c r="E24" s="2"/>
      <c r="F24" s="9"/>
      <c r="G24" s="10">
        <v>1</v>
      </c>
      <c r="H24" s="9" t="b">
        <v>1</v>
      </c>
      <c r="I24" s="9"/>
      <c r="J24" s="2" t="s">
        <v>2600</v>
      </c>
      <c r="K24" s="10" t="str">
        <f t="shared" si="2"/>
        <v>1.A.2</v>
      </c>
      <c r="L24" s="10" t="str">
        <f t="shared" si="1"/>
        <v>1.A.2</v>
      </c>
      <c r="M24" s="2" t="s">
        <v>2601</v>
      </c>
      <c r="N24" s="2" t="s">
        <v>1578</v>
      </c>
      <c r="O24" t="str">
        <f t="shared" si="0"/>
        <v>1.A</v>
      </c>
    </row>
    <row r="25" spans="3:15" x14ac:dyDescent="0.25">
      <c r="C25" s="9">
        <v>24</v>
      </c>
      <c r="D25" s="17"/>
      <c r="E25" s="2"/>
      <c r="F25" s="9"/>
      <c r="G25" s="10">
        <v>1</v>
      </c>
      <c r="H25" s="9" t="b">
        <v>1</v>
      </c>
      <c r="I25" s="9"/>
      <c r="J25" s="2" t="s">
        <v>2603</v>
      </c>
      <c r="K25" s="10" t="str">
        <f t="shared" si="2"/>
        <v>1.A.2</v>
      </c>
      <c r="L25" s="10" t="str">
        <f t="shared" si="1"/>
        <v>1.A.2</v>
      </c>
      <c r="M25" s="2" t="s">
        <v>2602</v>
      </c>
      <c r="N25" s="2" t="s">
        <v>1578</v>
      </c>
      <c r="O25" t="str">
        <f t="shared" si="0"/>
        <v>1.A</v>
      </c>
    </row>
    <row r="26" spans="3:15" x14ac:dyDescent="0.25">
      <c r="C26" s="9">
        <v>25</v>
      </c>
      <c r="D26" s="17"/>
      <c r="E26" s="2"/>
      <c r="F26" s="9"/>
      <c r="G26" s="10">
        <v>1</v>
      </c>
      <c r="H26" s="9" t="b">
        <v>1</v>
      </c>
      <c r="I26" s="9"/>
      <c r="J26" s="2" t="s">
        <v>2270</v>
      </c>
      <c r="K26" s="10" t="str">
        <f t="shared" si="2"/>
        <v>2.P</v>
      </c>
      <c r="L26" s="10" t="str">
        <f t="shared" si="1"/>
        <v>2.P</v>
      </c>
      <c r="M26" s="2" t="s">
        <v>2665</v>
      </c>
      <c r="N26" s="2" t="s">
        <v>1581</v>
      </c>
      <c r="O26" t="str">
        <f t="shared" si="0"/>
        <v>2.P</v>
      </c>
    </row>
    <row r="27" spans="3:15" x14ac:dyDescent="0.25">
      <c r="C27" s="9">
        <v>26</v>
      </c>
      <c r="D27" s="17"/>
      <c r="E27" s="2"/>
      <c r="F27" s="9"/>
      <c r="G27" s="10">
        <v>1</v>
      </c>
      <c r="H27" s="9" t="b">
        <v>1</v>
      </c>
      <c r="I27" s="9"/>
      <c r="J27" s="2" t="s">
        <v>2627</v>
      </c>
      <c r="K27" s="10" t="str">
        <f t="shared" si="2"/>
        <v>2.P.1</v>
      </c>
      <c r="L27" s="10" t="str">
        <f t="shared" si="1"/>
        <v>2.P.1</v>
      </c>
      <c r="M27" s="2" t="s">
        <v>2626</v>
      </c>
      <c r="N27" s="2" t="s">
        <v>1581</v>
      </c>
      <c r="O27" t="str">
        <f t="shared" si="0"/>
        <v>2.P</v>
      </c>
    </row>
    <row r="28" spans="3:15" x14ac:dyDescent="0.25">
      <c r="C28" s="9">
        <v>27</v>
      </c>
      <c r="D28" s="17"/>
      <c r="E28" s="2"/>
      <c r="F28" s="9"/>
      <c r="G28" s="10">
        <v>1</v>
      </c>
      <c r="H28" s="9" t="b">
        <v>1</v>
      </c>
      <c r="I28" s="9"/>
      <c r="J28" s="2" t="s">
        <v>2629</v>
      </c>
      <c r="K28" s="10" t="str">
        <f t="shared" si="2"/>
        <v>2.P.1</v>
      </c>
      <c r="L28" s="10" t="str">
        <f t="shared" si="1"/>
        <v>2.P.1</v>
      </c>
      <c r="M28" s="2" t="s">
        <v>1651</v>
      </c>
      <c r="N28" s="2" t="s">
        <v>1581</v>
      </c>
      <c r="O28" t="str">
        <f t="shared" si="0"/>
        <v>2.P</v>
      </c>
    </row>
    <row r="29" spans="3:15" x14ac:dyDescent="0.25">
      <c r="C29" s="9">
        <v>28</v>
      </c>
      <c r="D29" s="17"/>
      <c r="E29" s="2"/>
      <c r="F29" s="9"/>
      <c r="G29" s="10">
        <v>1</v>
      </c>
      <c r="H29" s="9" t="b">
        <v>1</v>
      </c>
      <c r="I29" s="9"/>
      <c r="J29" s="2" t="s">
        <v>2630</v>
      </c>
      <c r="K29" s="10" t="str">
        <f t="shared" si="2"/>
        <v>2.P.1.2</v>
      </c>
      <c r="L29" s="10" t="str">
        <f t="shared" si="1"/>
        <v>2.P.1.2</v>
      </c>
      <c r="M29" s="2" t="s">
        <v>2628</v>
      </c>
      <c r="N29" s="2" t="s">
        <v>1581</v>
      </c>
      <c r="O29" t="str">
        <f t="shared" si="0"/>
        <v>2.P</v>
      </c>
    </row>
    <row r="30" spans="3:15" x14ac:dyDescent="0.25">
      <c r="C30" s="9">
        <v>29</v>
      </c>
      <c r="D30" s="17"/>
      <c r="E30" s="2"/>
      <c r="F30" s="9"/>
      <c r="G30" s="10">
        <v>1</v>
      </c>
      <c r="H30" s="9" t="b">
        <v>1</v>
      </c>
      <c r="I30" s="9"/>
      <c r="J30" s="2" t="s">
        <v>2632</v>
      </c>
      <c r="K30" s="10" t="str">
        <f t="shared" si="2"/>
        <v>2.P.1.2</v>
      </c>
      <c r="L30" s="10" t="str">
        <f t="shared" si="1"/>
        <v>2.P.1.2</v>
      </c>
      <c r="M30" s="2" t="s">
        <v>2631</v>
      </c>
      <c r="N30" s="2" t="s">
        <v>1581</v>
      </c>
      <c r="O30" t="str">
        <f t="shared" si="0"/>
        <v>2.P</v>
      </c>
    </row>
    <row r="31" spans="3:15" x14ac:dyDescent="0.25">
      <c r="C31" s="9">
        <v>30</v>
      </c>
      <c r="D31" s="17"/>
      <c r="E31" s="2"/>
      <c r="F31" s="9"/>
      <c r="G31" s="10">
        <v>1</v>
      </c>
      <c r="H31" s="9" t="b">
        <v>1</v>
      </c>
      <c r="I31" s="9"/>
      <c r="J31" s="2" t="s">
        <v>2634</v>
      </c>
      <c r="K31" s="10" t="str">
        <f t="shared" si="2"/>
        <v>2.P.1.2</v>
      </c>
      <c r="L31" s="10" t="str">
        <f t="shared" si="1"/>
        <v>2.P.1.2</v>
      </c>
      <c r="M31" s="2" t="s">
        <v>2633</v>
      </c>
      <c r="N31" s="2" t="s">
        <v>1581</v>
      </c>
      <c r="O31" t="str">
        <f t="shared" si="0"/>
        <v>2.P</v>
      </c>
    </row>
    <row r="32" spans="3:15" x14ac:dyDescent="0.25">
      <c r="C32" s="9">
        <v>31</v>
      </c>
      <c r="D32" s="17"/>
      <c r="E32" s="2"/>
      <c r="F32" s="9"/>
      <c r="G32" s="10">
        <v>1</v>
      </c>
      <c r="H32" s="9" t="b">
        <v>1</v>
      </c>
      <c r="I32" s="9"/>
      <c r="J32" s="2" t="s">
        <v>2669</v>
      </c>
      <c r="K32" s="10" t="str">
        <f t="shared" si="2"/>
        <v>2.P.1</v>
      </c>
      <c r="L32" s="10" t="str">
        <f t="shared" si="1"/>
        <v>2.P.1</v>
      </c>
      <c r="M32" s="2" t="s">
        <v>2668</v>
      </c>
      <c r="N32" s="2" t="s">
        <v>1581</v>
      </c>
      <c r="O32" t="str">
        <f t="shared" si="0"/>
        <v>2.P</v>
      </c>
    </row>
    <row r="33" spans="3:15" x14ac:dyDescent="0.25">
      <c r="C33" s="9">
        <v>32</v>
      </c>
      <c r="D33" s="17"/>
      <c r="E33" s="2"/>
      <c r="F33" s="9"/>
      <c r="G33" s="10">
        <v>1</v>
      </c>
      <c r="H33" s="9" t="b">
        <v>1</v>
      </c>
      <c r="I33" s="9"/>
      <c r="J33" s="2" t="s">
        <v>2670</v>
      </c>
      <c r="K33" s="10" t="str">
        <f t="shared" si="2"/>
        <v>2.P.1</v>
      </c>
      <c r="L33" s="10" t="str">
        <f t="shared" si="1"/>
        <v>2.P.1</v>
      </c>
      <c r="M33" s="2" t="s">
        <v>2635</v>
      </c>
      <c r="N33" s="2" t="s">
        <v>1581</v>
      </c>
      <c r="O33" t="str">
        <f t="shared" si="0"/>
        <v>2.P</v>
      </c>
    </row>
    <row r="34" spans="3:15" x14ac:dyDescent="0.25">
      <c r="C34" s="9">
        <v>33</v>
      </c>
      <c r="D34" s="17"/>
      <c r="E34" s="2"/>
      <c r="F34" s="9"/>
      <c r="G34" s="10">
        <v>1</v>
      </c>
      <c r="H34" s="9" t="b">
        <v>1</v>
      </c>
      <c r="I34" s="9"/>
      <c r="J34" s="2" t="s">
        <v>2671</v>
      </c>
      <c r="K34" s="10" t="str">
        <f t="shared" si="2"/>
        <v>2.P.1</v>
      </c>
      <c r="L34" s="10" t="str">
        <f t="shared" si="1"/>
        <v>2.P.1</v>
      </c>
      <c r="M34" s="2" t="s">
        <v>2636</v>
      </c>
      <c r="N34" s="2" t="s">
        <v>1581</v>
      </c>
      <c r="O34" t="str">
        <f t="shared" si="0"/>
        <v>2.P</v>
      </c>
    </row>
    <row r="35" spans="3:15" x14ac:dyDescent="0.25">
      <c r="C35" s="9">
        <v>34</v>
      </c>
      <c r="D35" s="17"/>
      <c r="E35" s="2"/>
      <c r="F35" s="9"/>
      <c r="G35" s="10">
        <v>1</v>
      </c>
      <c r="H35" s="9" t="b">
        <v>1</v>
      </c>
      <c r="I35" s="9"/>
      <c r="J35" s="2" t="s">
        <v>2638</v>
      </c>
      <c r="K35" s="10" t="str">
        <f t="shared" si="2"/>
        <v>2.P</v>
      </c>
      <c r="L35" s="10" t="str">
        <f t="shared" si="1"/>
        <v>2.P</v>
      </c>
      <c r="M35" s="2" t="s">
        <v>2666</v>
      </c>
      <c r="N35" s="2" t="s">
        <v>1581</v>
      </c>
      <c r="O35" t="str">
        <f t="shared" si="0"/>
        <v>2.P</v>
      </c>
    </row>
    <row r="36" spans="3:15" x14ac:dyDescent="0.25">
      <c r="C36" s="9">
        <v>35</v>
      </c>
      <c r="D36" s="17"/>
      <c r="E36" s="2"/>
      <c r="F36" s="9"/>
      <c r="G36" s="10">
        <v>1</v>
      </c>
      <c r="H36" s="9" t="b">
        <v>1</v>
      </c>
      <c r="I36" s="9"/>
      <c r="J36" s="2" t="s">
        <v>2639</v>
      </c>
      <c r="K36" s="10" t="str">
        <f t="shared" si="2"/>
        <v>2.P.2</v>
      </c>
      <c r="L36" s="10" t="str">
        <f t="shared" si="1"/>
        <v>2.P.2</v>
      </c>
      <c r="M36" s="2" t="s">
        <v>1907</v>
      </c>
      <c r="N36" s="2" t="s">
        <v>1581</v>
      </c>
      <c r="O36" t="str">
        <f t="shared" si="0"/>
        <v>2.P</v>
      </c>
    </row>
    <row r="37" spans="3:15" x14ac:dyDescent="0.25">
      <c r="C37" s="9">
        <v>36</v>
      </c>
      <c r="D37" s="17"/>
      <c r="E37" s="2"/>
      <c r="F37" s="9"/>
      <c r="G37" s="10">
        <v>1</v>
      </c>
      <c r="H37" s="9" t="b">
        <v>1</v>
      </c>
      <c r="I37" s="9"/>
      <c r="J37" s="2" t="s">
        <v>2640</v>
      </c>
      <c r="K37" s="10" t="str">
        <f t="shared" si="2"/>
        <v>2.P.2</v>
      </c>
      <c r="L37" s="10" t="str">
        <f t="shared" si="1"/>
        <v>2.P.2</v>
      </c>
      <c r="M37" s="2" t="s">
        <v>1899</v>
      </c>
      <c r="N37" s="2" t="s">
        <v>1581</v>
      </c>
      <c r="O37" t="str">
        <f t="shared" si="0"/>
        <v>2.P</v>
      </c>
    </row>
    <row r="38" spans="3:15" x14ac:dyDescent="0.25">
      <c r="C38" s="9">
        <v>37</v>
      </c>
      <c r="D38" s="17"/>
      <c r="E38" s="2"/>
      <c r="F38" s="9"/>
      <c r="G38" s="10">
        <v>1</v>
      </c>
      <c r="H38" s="9" t="b">
        <v>1</v>
      </c>
      <c r="I38" s="9"/>
      <c r="J38" s="2" t="s">
        <v>2641</v>
      </c>
      <c r="K38" s="10" t="str">
        <f t="shared" si="2"/>
        <v>2.P.2.2</v>
      </c>
      <c r="L38" s="10" t="str">
        <f t="shared" si="1"/>
        <v>2.P.2.2</v>
      </c>
      <c r="M38" s="2" t="s">
        <v>2628</v>
      </c>
      <c r="N38" s="2" t="s">
        <v>1581</v>
      </c>
      <c r="O38" t="str">
        <f t="shared" si="0"/>
        <v>2.P</v>
      </c>
    </row>
    <row r="39" spans="3:15" x14ac:dyDescent="0.25">
      <c r="C39" s="9">
        <v>38</v>
      </c>
      <c r="D39" s="17"/>
      <c r="E39" s="2"/>
      <c r="F39" s="9"/>
      <c r="G39" s="10">
        <v>1</v>
      </c>
      <c r="H39" s="9" t="b">
        <v>1</v>
      </c>
      <c r="I39" s="9"/>
      <c r="J39" s="2" t="s">
        <v>2642</v>
      </c>
      <c r="K39" s="10" t="str">
        <f t="shared" si="2"/>
        <v>2.P.2.2</v>
      </c>
      <c r="L39" s="10" t="str">
        <f t="shared" si="1"/>
        <v>2.P.2.2</v>
      </c>
      <c r="M39" s="2" t="s">
        <v>2631</v>
      </c>
      <c r="N39" s="2" t="s">
        <v>1581</v>
      </c>
      <c r="O39" t="str">
        <f t="shared" si="0"/>
        <v>2.P</v>
      </c>
    </row>
    <row r="40" spans="3:15" x14ac:dyDescent="0.25">
      <c r="C40" s="9">
        <v>39</v>
      </c>
      <c r="D40" s="17"/>
      <c r="E40" s="2"/>
      <c r="F40" s="9"/>
      <c r="G40" s="10">
        <v>1</v>
      </c>
      <c r="H40" s="9" t="b">
        <v>1</v>
      </c>
      <c r="I40" s="9"/>
      <c r="J40" s="2" t="s">
        <v>2644</v>
      </c>
      <c r="K40" s="10" t="str">
        <f t="shared" si="2"/>
        <v>2.P.2.2</v>
      </c>
      <c r="L40" s="10" t="str">
        <f t="shared" si="1"/>
        <v>2.P.2.2</v>
      </c>
      <c r="M40" s="2" t="s">
        <v>2643</v>
      </c>
      <c r="N40" s="2" t="s">
        <v>1581</v>
      </c>
      <c r="O40" t="str">
        <f t="shared" si="0"/>
        <v>2.P</v>
      </c>
    </row>
    <row r="41" spans="3:15" x14ac:dyDescent="0.25">
      <c r="C41" s="9">
        <v>40</v>
      </c>
      <c r="D41" s="17"/>
      <c r="E41" s="2"/>
      <c r="F41" s="9"/>
      <c r="G41" s="10">
        <v>1</v>
      </c>
      <c r="H41" s="9" t="b">
        <v>1</v>
      </c>
      <c r="I41" s="9"/>
      <c r="J41" s="2" t="s">
        <v>2646</v>
      </c>
      <c r="K41" s="10" t="str">
        <f t="shared" si="2"/>
        <v>2.P.2</v>
      </c>
      <c r="L41" s="10" t="str">
        <f t="shared" si="1"/>
        <v>2.P.2</v>
      </c>
      <c r="M41" s="2" t="s">
        <v>2645</v>
      </c>
      <c r="N41" s="2" t="s">
        <v>1581</v>
      </c>
      <c r="O41" t="str">
        <f t="shared" si="0"/>
        <v>2.P</v>
      </c>
    </row>
    <row r="42" spans="3:15" x14ac:dyDescent="0.25">
      <c r="C42" s="9">
        <v>41</v>
      </c>
      <c r="D42" s="17"/>
      <c r="E42" s="2"/>
      <c r="F42" s="9"/>
      <c r="G42" s="10">
        <v>1</v>
      </c>
      <c r="H42" s="9" t="b">
        <v>1</v>
      </c>
      <c r="I42" s="9"/>
      <c r="J42" s="2" t="s">
        <v>2647</v>
      </c>
      <c r="K42" s="10" t="str">
        <f t="shared" si="2"/>
        <v>2.P.2</v>
      </c>
      <c r="L42" s="10" t="str">
        <f t="shared" si="1"/>
        <v>2.P.2</v>
      </c>
      <c r="M42" s="2" t="s">
        <v>1969</v>
      </c>
      <c r="N42" s="2" t="s">
        <v>1581</v>
      </c>
      <c r="O42" t="str">
        <f t="shared" si="0"/>
        <v>2.P</v>
      </c>
    </row>
    <row r="43" spans="3:15" x14ac:dyDescent="0.25">
      <c r="C43" s="9">
        <v>42</v>
      </c>
      <c r="D43" s="17"/>
      <c r="E43" s="2"/>
      <c r="F43" s="9"/>
      <c r="G43" s="10">
        <v>1</v>
      </c>
      <c r="H43" s="9" t="b">
        <v>1</v>
      </c>
      <c r="I43" s="9"/>
      <c r="J43" s="2" t="s">
        <v>2648</v>
      </c>
      <c r="K43" s="10" t="str">
        <f t="shared" si="2"/>
        <v>2.P.2.4</v>
      </c>
      <c r="L43" s="10" t="str">
        <f t="shared" si="1"/>
        <v>2.P.2.4</v>
      </c>
      <c r="M43" s="2" t="s">
        <v>1790</v>
      </c>
      <c r="N43" s="2" t="s">
        <v>1581</v>
      </c>
      <c r="O43" t="str">
        <f t="shared" si="0"/>
        <v>2.P</v>
      </c>
    </row>
    <row r="44" spans="3:15" x14ac:dyDescent="0.25">
      <c r="C44" s="9">
        <v>43</v>
      </c>
      <c r="D44" s="17"/>
      <c r="E44" s="2"/>
      <c r="F44" s="9"/>
      <c r="G44" s="10">
        <v>1</v>
      </c>
      <c r="H44" s="9" t="b">
        <v>1</v>
      </c>
      <c r="I44" s="9"/>
      <c r="J44" s="2" t="s">
        <v>2649</v>
      </c>
      <c r="K44" s="10" t="str">
        <f t="shared" si="2"/>
        <v>2.P.2.4</v>
      </c>
      <c r="L44" s="10" t="str">
        <f t="shared" si="1"/>
        <v>2.P.2.4</v>
      </c>
      <c r="M44" s="2" t="s">
        <v>2650</v>
      </c>
      <c r="N44" s="2" t="s">
        <v>1581</v>
      </c>
      <c r="O44" t="str">
        <f t="shared" si="0"/>
        <v>2.P</v>
      </c>
    </row>
    <row r="45" spans="3:15" x14ac:dyDescent="0.25">
      <c r="C45" s="9">
        <v>44</v>
      </c>
      <c r="D45" s="17"/>
      <c r="E45" s="2"/>
      <c r="F45" s="9"/>
      <c r="G45" s="10">
        <v>1</v>
      </c>
      <c r="H45" s="9" t="b">
        <v>1</v>
      </c>
      <c r="I45" s="9"/>
      <c r="J45" s="2" t="s">
        <v>2651</v>
      </c>
      <c r="K45" s="10" t="str">
        <f t="shared" si="2"/>
        <v>2.P.2</v>
      </c>
      <c r="L45" s="10" t="str">
        <f t="shared" si="1"/>
        <v>2.P.2</v>
      </c>
      <c r="M45" s="2" t="s">
        <v>2601</v>
      </c>
      <c r="N45" s="2" t="s">
        <v>1581</v>
      </c>
      <c r="O45" t="str">
        <f t="shared" si="0"/>
        <v>2.P</v>
      </c>
    </row>
    <row r="46" spans="3:15" x14ac:dyDescent="0.25">
      <c r="C46" s="9">
        <v>45</v>
      </c>
      <c r="D46" s="17"/>
      <c r="E46" s="2"/>
      <c r="F46" s="9"/>
      <c r="G46" s="10">
        <v>1</v>
      </c>
      <c r="H46" s="9" t="b">
        <v>1</v>
      </c>
      <c r="I46" s="9"/>
      <c r="J46" s="2" t="s">
        <v>2269</v>
      </c>
      <c r="K46" s="10" t="str">
        <f t="shared" si="2"/>
        <v>3.E</v>
      </c>
      <c r="L46" s="10" t="str">
        <f t="shared" si="1"/>
        <v>3.E</v>
      </c>
      <c r="M46" s="2" t="s">
        <v>2605</v>
      </c>
      <c r="N46" s="2" t="s">
        <v>1582</v>
      </c>
      <c r="O46" t="str">
        <f t="shared" si="0"/>
        <v>3.E</v>
      </c>
    </row>
    <row r="47" spans="3:15" x14ac:dyDescent="0.25">
      <c r="C47" s="9">
        <v>46</v>
      </c>
      <c r="D47" s="17"/>
      <c r="E47" s="2"/>
      <c r="F47" s="9"/>
      <c r="G47" s="10">
        <v>1</v>
      </c>
      <c r="H47" s="9" t="b">
        <v>1</v>
      </c>
      <c r="I47" s="9"/>
      <c r="J47" s="2" t="s">
        <v>2609</v>
      </c>
      <c r="K47" s="10" t="str">
        <f t="shared" si="2"/>
        <v>3.E.1</v>
      </c>
      <c r="L47" s="10" t="str">
        <f t="shared" si="1"/>
        <v>3.E.1</v>
      </c>
      <c r="M47" s="2" t="s">
        <v>1611</v>
      </c>
      <c r="N47" s="2" t="s">
        <v>1582</v>
      </c>
      <c r="O47" t="str">
        <f t="shared" si="0"/>
        <v>3.E</v>
      </c>
    </row>
    <row r="48" spans="3:15" x14ac:dyDescent="0.25">
      <c r="C48" s="9">
        <v>47</v>
      </c>
      <c r="D48" s="17"/>
      <c r="E48" s="2"/>
      <c r="F48" s="9"/>
      <c r="G48" s="10">
        <v>1</v>
      </c>
      <c r="H48" s="9" t="b">
        <v>1</v>
      </c>
      <c r="I48" s="9"/>
      <c r="J48" s="2" t="s">
        <v>2661</v>
      </c>
      <c r="K48" s="10" t="str">
        <f t="shared" si="2"/>
        <v>3.E.1.1</v>
      </c>
      <c r="L48" s="10" t="str">
        <f t="shared" si="1"/>
        <v>3.E.1.1</v>
      </c>
      <c r="M48" s="2" t="s">
        <v>2606</v>
      </c>
      <c r="N48" s="2" t="s">
        <v>1582</v>
      </c>
      <c r="O48" t="str">
        <f t="shared" si="0"/>
        <v>3.E</v>
      </c>
    </row>
    <row r="49" spans="3:15" x14ac:dyDescent="0.25">
      <c r="C49" s="9">
        <v>48</v>
      </c>
      <c r="D49" s="17"/>
      <c r="E49" s="2"/>
      <c r="F49" s="9"/>
      <c r="G49" s="10">
        <v>1</v>
      </c>
      <c r="H49" s="9" t="b">
        <v>1</v>
      </c>
      <c r="I49" s="9"/>
      <c r="J49" s="2" t="s">
        <v>2660</v>
      </c>
      <c r="K49" s="10" t="str">
        <f t="shared" si="2"/>
        <v>3.E.1.1</v>
      </c>
      <c r="L49" s="10" t="str">
        <f t="shared" si="1"/>
        <v>3.E.1.1</v>
      </c>
      <c r="M49" s="2" t="s">
        <v>2607</v>
      </c>
      <c r="N49" s="2" t="s">
        <v>1582</v>
      </c>
      <c r="O49" t="str">
        <f t="shared" si="0"/>
        <v>3.E</v>
      </c>
    </row>
    <row r="50" spans="3:15" x14ac:dyDescent="0.25">
      <c r="C50" s="9">
        <v>49</v>
      </c>
      <c r="D50" s="17"/>
      <c r="E50" s="2"/>
      <c r="F50" s="9"/>
      <c r="G50" s="10">
        <v>1</v>
      </c>
      <c r="H50" s="9" t="b">
        <v>1</v>
      </c>
      <c r="I50" s="9"/>
      <c r="J50" s="2" t="s">
        <v>2610</v>
      </c>
      <c r="K50" s="10" t="str">
        <f t="shared" si="2"/>
        <v>3.E.1</v>
      </c>
      <c r="L50" s="10" t="str">
        <f t="shared" si="1"/>
        <v>3.E.1</v>
      </c>
      <c r="M50" s="2" t="s">
        <v>2611</v>
      </c>
      <c r="N50" s="2" t="s">
        <v>1582</v>
      </c>
      <c r="O50" t="str">
        <f t="shared" si="0"/>
        <v>3.E</v>
      </c>
    </row>
    <row r="51" spans="3:15" x14ac:dyDescent="0.25">
      <c r="C51" s="9">
        <v>50</v>
      </c>
      <c r="D51" s="17"/>
      <c r="E51" s="2"/>
      <c r="F51" s="9"/>
      <c r="G51" s="10">
        <v>1</v>
      </c>
      <c r="H51" s="9" t="b">
        <v>1</v>
      </c>
      <c r="I51" s="9"/>
      <c r="J51" s="2" t="s">
        <v>2617</v>
      </c>
      <c r="K51" s="10" t="str">
        <f t="shared" si="2"/>
        <v>3.E.1</v>
      </c>
      <c r="L51" s="10" t="str">
        <f t="shared" si="1"/>
        <v>3.E.1</v>
      </c>
      <c r="M51" s="2" t="s">
        <v>2612</v>
      </c>
      <c r="N51" s="2" t="s">
        <v>1582</v>
      </c>
      <c r="O51" t="str">
        <f t="shared" si="0"/>
        <v>3.E</v>
      </c>
    </row>
    <row r="52" spans="3:15" x14ac:dyDescent="0.25">
      <c r="C52" s="9">
        <v>51</v>
      </c>
      <c r="D52" s="17"/>
      <c r="E52" s="2"/>
      <c r="F52" s="9"/>
      <c r="G52" s="10">
        <v>1</v>
      </c>
      <c r="H52" s="9" t="b">
        <v>1</v>
      </c>
      <c r="I52" s="9"/>
      <c r="J52" s="2" t="s">
        <v>2618</v>
      </c>
      <c r="K52" s="10" t="str">
        <f t="shared" si="2"/>
        <v>3.E.1</v>
      </c>
      <c r="L52" s="10" t="str">
        <f t="shared" si="1"/>
        <v>3.E.1</v>
      </c>
      <c r="M52" s="2" t="s">
        <v>2613</v>
      </c>
      <c r="N52" s="2" t="s">
        <v>1582</v>
      </c>
      <c r="O52" t="str">
        <f t="shared" si="0"/>
        <v>3.E</v>
      </c>
    </row>
    <row r="53" spans="3:15" x14ac:dyDescent="0.25">
      <c r="C53" s="9">
        <v>52</v>
      </c>
      <c r="D53" s="17"/>
      <c r="E53" s="2"/>
      <c r="F53" s="9"/>
      <c r="G53" s="10">
        <v>1</v>
      </c>
      <c r="H53" s="9" t="b">
        <v>1</v>
      </c>
      <c r="I53" s="9"/>
      <c r="J53" s="2" t="s">
        <v>2619</v>
      </c>
      <c r="K53" s="10" t="str">
        <f t="shared" si="2"/>
        <v>3.E.1</v>
      </c>
      <c r="L53" s="10" t="str">
        <f t="shared" si="1"/>
        <v>3.E.1</v>
      </c>
      <c r="M53" s="2" t="s">
        <v>2614</v>
      </c>
      <c r="N53" s="2" t="s">
        <v>1582</v>
      </c>
      <c r="O53" t="str">
        <f t="shared" si="0"/>
        <v>3.E</v>
      </c>
    </row>
    <row r="54" spans="3:15" x14ac:dyDescent="0.25">
      <c r="C54" s="9">
        <v>53</v>
      </c>
      <c r="D54" s="17"/>
      <c r="E54" s="2"/>
      <c r="F54" s="9"/>
      <c r="G54" s="10">
        <v>1</v>
      </c>
      <c r="H54" s="9" t="b">
        <v>1</v>
      </c>
      <c r="I54" s="9"/>
      <c r="J54" s="2" t="s">
        <v>2620</v>
      </c>
      <c r="K54" s="10" t="str">
        <f t="shared" si="2"/>
        <v>3.E.1</v>
      </c>
      <c r="L54" s="10" t="str">
        <f t="shared" si="1"/>
        <v>3.E.1</v>
      </c>
      <c r="M54" s="2" t="s">
        <v>2615</v>
      </c>
      <c r="N54" s="2" t="s">
        <v>1582</v>
      </c>
      <c r="O54" t="str">
        <f t="shared" si="0"/>
        <v>3.E</v>
      </c>
    </row>
    <row r="55" spans="3:15" x14ac:dyDescent="0.25">
      <c r="C55" s="9">
        <v>54</v>
      </c>
      <c r="D55" s="17"/>
      <c r="E55" s="2"/>
      <c r="F55" s="9"/>
      <c r="G55" s="10">
        <v>1</v>
      </c>
      <c r="H55" s="9" t="b">
        <v>1</v>
      </c>
      <c r="I55" s="9"/>
      <c r="J55" s="2" t="s">
        <v>2621</v>
      </c>
      <c r="K55" s="10" t="str">
        <f t="shared" si="2"/>
        <v>3.E.1</v>
      </c>
      <c r="L55" s="10" t="str">
        <f t="shared" si="1"/>
        <v>3.E.1</v>
      </c>
      <c r="M55" s="2" t="s">
        <v>1630</v>
      </c>
      <c r="N55" s="2" t="s">
        <v>1582</v>
      </c>
      <c r="O55" t="str">
        <f t="shared" si="0"/>
        <v>3.E</v>
      </c>
    </row>
    <row r="56" spans="3:15" x14ac:dyDescent="0.25">
      <c r="C56" s="9">
        <v>55</v>
      </c>
      <c r="D56" s="17"/>
      <c r="E56" s="2"/>
      <c r="F56" s="9"/>
      <c r="G56" s="10">
        <v>1</v>
      </c>
      <c r="H56" s="9" t="b">
        <v>1</v>
      </c>
      <c r="I56" s="9"/>
      <c r="J56" s="2" t="s">
        <v>2622</v>
      </c>
      <c r="K56" s="10" t="str">
        <f t="shared" si="2"/>
        <v>3.E.1</v>
      </c>
      <c r="L56" s="10" t="str">
        <f t="shared" si="1"/>
        <v>3.E.1</v>
      </c>
      <c r="M56" s="2" t="s">
        <v>2616</v>
      </c>
      <c r="N56" s="2" t="s">
        <v>1582</v>
      </c>
      <c r="O56" t="str">
        <f t="shared" si="0"/>
        <v>3.E</v>
      </c>
    </row>
    <row r="57" spans="3:15" x14ac:dyDescent="0.25">
      <c r="C57" s="9">
        <v>56</v>
      </c>
      <c r="D57" s="17"/>
      <c r="E57" s="2"/>
      <c r="F57" s="9"/>
      <c r="G57" s="10">
        <v>1</v>
      </c>
      <c r="H57" s="9" t="b">
        <v>1</v>
      </c>
      <c r="I57" s="9"/>
      <c r="J57" s="2" t="s">
        <v>2608</v>
      </c>
      <c r="K57" s="10" t="str">
        <f t="shared" si="2"/>
        <v>3.E</v>
      </c>
      <c r="L57" s="10" t="str">
        <f t="shared" si="1"/>
        <v>3.E</v>
      </c>
      <c r="M57" s="2" t="s">
        <v>3058</v>
      </c>
      <c r="N57" s="2" t="s">
        <v>1582</v>
      </c>
      <c r="O57" t="str">
        <f t="shared" si="0"/>
        <v>3.E</v>
      </c>
    </row>
    <row r="58" spans="3:15" x14ac:dyDescent="0.25">
      <c r="C58" s="9">
        <v>35</v>
      </c>
      <c r="D58" s="16">
        <v>100</v>
      </c>
      <c r="E58" s="10" t="str">
        <f t="shared" ref="E58:E96" si="3">TEXT(D58,0)</f>
        <v>100</v>
      </c>
      <c r="F58" s="10" t="str">
        <f t="shared" ref="F58:F96" si="4">LEFT(D58,LEN(D58)-1)</f>
        <v>10</v>
      </c>
      <c r="G58" s="10">
        <f t="shared" ref="G58:G121" si="5">IF(IFERROR(VLOOKUP(E58,F:F,1,FALSE),0)&lt;&gt;0,1,0)</f>
        <v>0</v>
      </c>
      <c r="H58" s="10" t="b">
        <f>IF(ISERROR(VLOOKUP(E58,cuentas_pyme!C:C,1,FALSE)),FALSE,TRUE)</f>
        <v>1</v>
      </c>
      <c r="I58" s="10" t="str">
        <f>VLOOKUP(D58,cuentas_balance!C:I,7,FALSE)</f>
        <v>3.E.1.1.1</v>
      </c>
      <c r="J58" s="11" t="str">
        <f t="shared" ref="J58:J96" si="6">I58&amp;"."&amp;E58</f>
        <v>3.E.1.1.1.100</v>
      </c>
      <c r="K58" s="10" t="str">
        <f t="shared" ref="K58:K97" si="7">I58</f>
        <v>3.E.1.1.1</v>
      </c>
      <c r="L58" s="10" t="str">
        <f t="shared" si="1"/>
        <v>3.E.1.1.1</v>
      </c>
      <c r="M58" s="12" t="s">
        <v>1609</v>
      </c>
      <c r="N58" t="s">
        <v>1582</v>
      </c>
      <c r="O58" t="str">
        <f t="shared" si="0"/>
        <v>3.E</v>
      </c>
    </row>
    <row r="59" spans="3:15" x14ac:dyDescent="0.25">
      <c r="C59" s="9">
        <v>36</v>
      </c>
      <c r="D59" s="16">
        <v>101</v>
      </c>
      <c r="E59" s="10" t="str">
        <f t="shared" si="3"/>
        <v>101</v>
      </c>
      <c r="F59" s="10" t="str">
        <f t="shared" si="4"/>
        <v>10</v>
      </c>
      <c r="G59" s="10">
        <f t="shared" si="5"/>
        <v>0</v>
      </c>
      <c r="H59" s="10" t="b">
        <f>IF(ISERROR(VLOOKUP(E59,cuentas_pyme!C:C,1,FALSE)),FALSE,TRUE)</f>
        <v>1</v>
      </c>
      <c r="I59" s="10" t="str">
        <f>VLOOKUP(D59,cuentas_balance!C:I,7,FALSE)</f>
        <v>3.E.1.1.1</v>
      </c>
      <c r="J59" s="11" t="str">
        <f t="shared" si="6"/>
        <v>3.E.1.1.1.101</v>
      </c>
      <c r="K59" s="10" t="str">
        <f t="shared" si="7"/>
        <v>3.E.1.1.1</v>
      </c>
      <c r="L59" s="10" t="str">
        <f t="shared" si="1"/>
        <v>3.E.1.1.1</v>
      </c>
      <c r="M59" s="12" t="s">
        <v>1610</v>
      </c>
      <c r="N59" t="s">
        <v>1582</v>
      </c>
      <c r="O59" t="str">
        <f t="shared" si="0"/>
        <v>3.E</v>
      </c>
    </row>
    <row r="60" spans="3:15" x14ac:dyDescent="0.25">
      <c r="C60" s="9">
        <v>37</v>
      </c>
      <c r="D60" s="16">
        <v>102</v>
      </c>
      <c r="E60" s="10" t="str">
        <f t="shared" si="3"/>
        <v>102</v>
      </c>
      <c r="F60" s="10" t="str">
        <f t="shared" si="4"/>
        <v>10</v>
      </c>
      <c r="G60" s="10">
        <f t="shared" si="5"/>
        <v>0</v>
      </c>
      <c r="H60" s="10" t="b">
        <f>IF(ISERROR(VLOOKUP(E60,cuentas_pyme!C:C,1,FALSE)),FALSE,TRUE)</f>
        <v>1</v>
      </c>
      <c r="I60" s="10" t="str">
        <f>VLOOKUP(D60,cuentas_balance!C:I,7,FALSE)</f>
        <v>3.E.1.1.1</v>
      </c>
      <c r="J60" s="11" t="str">
        <f t="shared" si="6"/>
        <v>3.E.1.1.1.102</v>
      </c>
      <c r="K60" s="10" t="str">
        <f t="shared" si="7"/>
        <v>3.E.1.1.1</v>
      </c>
      <c r="L60" s="10" t="str">
        <f t="shared" si="1"/>
        <v>3.E.1.1.1</v>
      </c>
      <c r="M60" s="12" t="s">
        <v>1611</v>
      </c>
      <c r="N60" t="s">
        <v>1582</v>
      </c>
      <c r="O60" t="str">
        <f t="shared" si="0"/>
        <v>3.E</v>
      </c>
    </row>
    <row r="61" spans="3:15" x14ac:dyDescent="0.25">
      <c r="C61" s="9">
        <v>39</v>
      </c>
      <c r="D61" s="16">
        <v>1030</v>
      </c>
      <c r="E61" s="10" t="str">
        <f t="shared" si="3"/>
        <v>1030</v>
      </c>
      <c r="F61" s="10" t="str">
        <f t="shared" si="4"/>
        <v>103</v>
      </c>
      <c r="G61" s="10">
        <f t="shared" si="5"/>
        <v>0</v>
      </c>
      <c r="H61" s="10" t="b">
        <f>IF(ISERROR(VLOOKUP(E61,cuentas_pyme!C:C,1,FALSE)),FALSE,TRUE)</f>
        <v>1</v>
      </c>
      <c r="I61" s="10" t="str">
        <f>VLOOKUP(D61,cuentas_balance!C:I,7,FALSE)</f>
        <v>3.E.1.1.2</v>
      </c>
      <c r="J61" s="11" t="str">
        <f t="shared" si="6"/>
        <v>3.E.1.1.2.1030</v>
      </c>
      <c r="K61" s="10" t="str">
        <f t="shared" si="7"/>
        <v>3.E.1.1.2</v>
      </c>
      <c r="L61" s="10" t="str">
        <f t="shared" si="1"/>
        <v>3.E.1.1.2</v>
      </c>
      <c r="M61" s="12" t="s">
        <v>1612</v>
      </c>
      <c r="N61" t="s">
        <v>1582</v>
      </c>
      <c r="O61" t="str">
        <f t="shared" si="0"/>
        <v>3.E</v>
      </c>
    </row>
    <row r="62" spans="3:15" x14ac:dyDescent="0.25">
      <c r="C62" s="9">
        <v>40</v>
      </c>
      <c r="D62" s="16">
        <v>1034</v>
      </c>
      <c r="E62" s="10" t="str">
        <f t="shared" si="3"/>
        <v>1034</v>
      </c>
      <c r="F62" s="10" t="str">
        <f t="shared" si="4"/>
        <v>103</v>
      </c>
      <c r="G62" s="10">
        <f t="shared" si="5"/>
        <v>0</v>
      </c>
      <c r="H62" s="10" t="b">
        <f>IF(ISERROR(VLOOKUP(E62,cuentas_pyme!C:C,1,FALSE)),FALSE,TRUE)</f>
        <v>1</v>
      </c>
      <c r="I62" s="10" t="str">
        <f>VLOOKUP(D62,cuentas_balance!C:I,7,FALSE)</f>
        <v>2.P.2.2.3</v>
      </c>
      <c r="J62" s="11" t="str">
        <f t="shared" si="6"/>
        <v>2.P.2.2.3.1034</v>
      </c>
      <c r="K62" s="10" t="str">
        <f t="shared" si="7"/>
        <v>2.P.2.2.3</v>
      </c>
      <c r="L62" s="10" t="str">
        <f t="shared" si="1"/>
        <v>2.P.2.2.3</v>
      </c>
      <c r="M62" s="12" t="s">
        <v>1613</v>
      </c>
      <c r="N62" t="s">
        <v>1582</v>
      </c>
      <c r="O62" t="str">
        <f t="shared" si="0"/>
        <v>3.E</v>
      </c>
    </row>
    <row r="63" spans="3:15" x14ac:dyDescent="0.25">
      <c r="C63" s="9">
        <v>42</v>
      </c>
      <c r="D63" s="16">
        <v>1040</v>
      </c>
      <c r="E63" s="10" t="str">
        <f t="shared" si="3"/>
        <v>1040</v>
      </c>
      <c r="F63" s="10" t="str">
        <f t="shared" si="4"/>
        <v>104</v>
      </c>
      <c r="G63" s="10">
        <f t="shared" si="5"/>
        <v>0</v>
      </c>
      <c r="H63" s="10" t="b">
        <f>IF(ISERROR(VLOOKUP(E63,cuentas_pyme!C:C,1,FALSE)),FALSE,TRUE)</f>
        <v>1</v>
      </c>
      <c r="I63" s="10" t="str">
        <f>VLOOKUP(D63,cuentas_balance!C:I,7,FALSE)</f>
        <v>3.E.1.1.2</v>
      </c>
      <c r="J63" s="11" t="str">
        <f t="shared" si="6"/>
        <v>3.E.1.1.2.1040</v>
      </c>
      <c r="K63" s="10" t="str">
        <f t="shared" si="7"/>
        <v>3.E.1.1.2</v>
      </c>
      <c r="L63" s="10" t="str">
        <f t="shared" si="1"/>
        <v>3.E.1.1.2</v>
      </c>
      <c r="M63" s="12" t="s">
        <v>1614</v>
      </c>
      <c r="N63" t="s">
        <v>1582</v>
      </c>
      <c r="O63" t="str">
        <f t="shared" si="0"/>
        <v>3.E</v>
      </c>
    </row>
    <row r="64" spans="3:15" x14ac:dyDescent="0.25">
      <c r="C64" s="9">
        <v>43</v>
      </c>
      <c r="D64" s="16">
        <v>1044</v>
      </c>
      <c r="E64" s="10" t="str">
        <f t="shared" si="3"/>
        <v>1044</v>
      </c>
      <c r="F64" s="10" t="str">
        <f t="shared" si="4"/>
        <v>104</v>
      </c>
      <c r="G64" s="10">
        <f t="shared" si="5"/>
        <v>0</v>
      </c>
      <c r="H64" s="10" t="b">
        <f>IF(ISERROR(VLOOKUP(E64,cuentas_pyme!C:C,1,FALSE)),FALSE,TRUE)</f>
        <v>1</v>
      </c>
      <c r="I64" s="10" t="str">
        <f>VLOOKUP(D64,cuentas_balance!C:I,7,FALSE)</f>
        <v>2.P.2.2.3</v>
      </c>
      <c r="J64" s="11" t="str">
        <f t="shared" si="6"/>
        <v>2.P.2.2.3.1044</v>
      </c>
      <c r="K64" s="10" t="str">
        <f t="shared" si="7"/>
        <v>2.P.2.2.3</v>
      </c>
      <c r="L64" s="10" t="str">
        <f t="shared" si="1"/>
        <v>2.P.2.2.3</v>
      </c>
      <c r="M64" s="12" t="s">
        <v>1615</v>
      </c>
      <c r="N64" t="s">
        <v>1582</v>
      </c>
      <c r="O64" t="str">
        <f t="shared" si="0"/>
        <v>3.E</v>
      </c>
    </row>
    <row r="65" spans="3:15" x14ac:dyDescent="0.25">
      <c r="C65" s="9">
        <v>44</v>
      </c>
      <c r="D65" s="16">
        <v>108</v>
      </c>
      <c r="E65" s="10" t="str">
        <f t="shared" si="3"/>
        <v>108</v>
      </c>
      <c r="F65" s="10" t="str">
        <f t="shared" si="4"/>
        <v>10</v>
      </c>
      <c r="G65" s="10">
        <f t="shared" si="5"/>
        <v>0</v>
      </c>
      <c r="H65" s="10" t="b">
        <f>IF(ISERROR(VLOOKUP(E65,cuentas_pyme!C:C,1,FALSE)),FALSE,TRUE)</f>
        <v>1</v>
      </c>
      <c r="I65" s="10" t="str">
        <f>VLOOKUP(D65,cuentas_balance!C:I,7,FALSE)</f>
        <v>3.E.1.4</v>
      </c>
      <c r="J65" s="11" t="str">
        <f t="shared" si="6"/>
        <v>3.E.1.4.108</v>
      </c>
      <c r="K65" s="10" t="str">
        <f t="shared" si="7"/>
        <v>3.E.1.4</v>
      </c>
      <c r="L65" s="10" t="str">
        <f t="shared" si="1"/>
        <v>3.E.1.4</v>
      </c>
      <c r="M65" s="12" t="s">
        <v>1616</v>
      </c>
      <c r="N65" t="s">
        <v>1582</v>
      </c>
      <c r="O65" t="str">
        <f t="shared" si="0"/>
        <v>3.E</v>
      </c>
    </row>
    <row r="66" spans="3:15" x14ac:dyDescent="0.25">
      <c r="C66" s="9">
        <v>45</v>
      </c>
      <c r="D66" s="16">
        <v>109</v>
      </c>
      <c r="E66" s="10" t="str">
        <f t="shared" si="3"/>
        <v>109</v>
      </c>
      <c r="F66" s="10" t="str">
        <f t="shared" si="4"/>
        <v>10</v>
      </c>
      <c r="G66" s="10">
        <f t="shared" si="5"/>
        <v>0</v>
      </c>
      <c r="H66" s="10" t="b">
        <f>IF(ISERROR(VLOOKUP(E66,cuentas_pyme!C:C,1,FALSE)),FALSE,TRUE)</f>
        <v>1</v>
      </c>
      <c r="I66" s="10" t="str">
        <f>VLOOKUP(D66,cuentas_balance!C:I,7,FALSE)</f>
        <v>3.E.1.4</v>
      </c>
      <c r="J66" s="11" t="str">
        <f t="shared" si="6"/>
        <v>3.E.1.4.109</v>
      </c>
      <c r="K66" s="10" t="str">
        <f t="shared" si="7"/>
        <v>3.E.1.4</v>
      </c>
      <c r="L66" s="10" t="str">
        <f t="shared" si="1"/>
        <v>3.E.1.4</v>
      </c>
      <c r="M66" s="12" t="s">
        <v>1617</v>
      </c>
      <c r="N66" t="s">
        <v>1582</v>
      </c>
      <c r="O66" t="str">
        <f t="shared" si="0"/>
        <v>3.E</v>
      </c>
    </row>
    <row r="67" spans="3:15" x14ac:dyDescent="0.25">
      <c r="C67" s="9">
        <v>47</v>
      </c>
      <c r="D67" s="16">
        <v>110</v>
      </c>
      <c r="E67" s="10" t="str">
        <f t="shared" si="3"/>
        <v>110</v>
      </c>
      <c r="F67" s="10" t="str">
        <f t="shared" si="4"/>
        <v>11</v>
      </c>
      <c r="G67" s="10">
        <f t="shared" si="5"/>
        <v>0</v>
      </c>
      <c r="H67" s="10" t="b">
        <f>IF(ISERROR(VLOOKUP(E67,cuentas_pyme!C:C,1,FALSE)),FALSE,TRUE)</f>
        <v>1</v>
      </c>
      <c r="I67" s="10" t="str">
        <f>VLOOKUP(D67,cuentas_balance!C:I,7,FALSE)</f>
        <v>3.E.1.2</v>
      </c>
      <c r="J67" s="11" t="str">
        <f t="shared" si="6"/>
        <v>3.E.1.2.110</v>
      </c>
      <c r="K67" s="10" t="str">
        <f t="shared" si="7"/>
        <v>3.E.1.2</v>
      </c>
      <c r="L67" s="10" t="str">
        <f t="shared" si="1"/>
        <v>3.E.1.2</v>
      </c>
      <c r="M67" s="12" t="s">
        <v>1618</v>
      </c>
      <c r="N67" t="s">
        <v>1582</v>
      </c>
      <c r="O67" t="str">
        <f t="shared" si="0"/>
        <v>3.E</v>
      </c>
    </row>
    <row r="68" spans="3:15" x14ac:dyDescent="0.25">
      <c r="C68" s="9">
        <v>51</v>
      </c>
      <c r="D68" s="16">
        <v>112</v>
      </c>
      <c r="E68" s="10" t="str">
        <f t="shared" si="3"/>
        <v>112</v>
      </c>
      <c r="F68" s="10" t="str">
        <f t="shared" si="4"/>
        <v>11</v>
      </c>
      <c r="G68" s="10">
        <f t="shared" si="5"/>
        <v>0</v>
      </c>
      <c r="H68" s="10" t="b">
        <f>IF(ISERROR(VLOOKUP(E68,cuentas_pyme!C:C,1,FALSE)),FALSE,TRUE)</f>
        <v>1</v>
      </c>
      <c r="I68" s="10" t="str">
        <f>VLOOKUP(D68,cuentas_balance!C:I,7,FALSE)</f>
        <v>3.E.1.3</v>
      </c>
      <c r="J68" s="11" t="str">
        <f t="shared" si="6"/>
        <v>3.E.1.3.112</v>
      </c>
      <c r="K68" s="10" t="str">
        <f t="shared" si="7"/>
        <v>3.E.1.3</v>
      </c>
      <c r="L68" s="10" t="str">
        <f t="shared" si="1"/>
        <v>3.E.1.3</v>
      </c>
      <c r="M68" s="12" t="s">
        <v>1619</v>
      </c>
      <c r="N68" t="s">
        <v>1582</v>
      </c>
      <c r="O68" t="str">
        <f t="shared" ref="O68:O131" si="8">IFERROR(VLOOKUP(N68,$Q$4:$R$9,2,FALSE),"")</f>
        <v>3.E</v>
      </c>
    </row>
    <row r="69" spans="3:15" x14ac:dyDescent="0.25">
      <c r="C69" s="9">
        <v>52</v>
      </c>
      <c r="D69" s="16">
        <v>113</v>
      </c>
      <c r="E69" s="10" t="str">
        <f t="shared" si="3"/>
        <v>113</v>
      </c>
      <c r="F69" s="10" t="str">
        <f t="shared" si="4"/>
        <v>11</v>
      </c>
      <c r="G69" s="10">
        <f t="shared" si="5"/>
        <v>0</v>
      </c>
      <c r="H69" s="10" t="b">
        <f>IF(ISERROR(VLOOKUP(E69,cuentas_pyme!C:C,1,FALSE)),FALSE,TRUE)</f>
        <v>1</v>
      </c>
      <c r="I69" s="10" t="str">
        <f>VLOOKUP(D69,cuentas_balance!C:I,7,FALSE)</f>
        <v>3.E.1.3</v>
      </c>
      <c r="J69" s="11" t="str">
        <f t="shared" si="6"/>
        <v>3.E.1.3.113</v>
      </c>
      <c r="K69" s="10" t="str">
        <f t="shared" si="7"/>
        <v>3.E.1.3</v>
      </c>
      <c r="L69" s="10" t="str">
        <f t="shared" si="1"/>
        <v>3.E.1.3</v>
      </c>
      <c r="M69" s="12" t="s">
        <v>1620</v>
      </c>
      <c r="N69" t="s">
        <v>1582</v>
      </c>
      <c r="O69" t="str">
        <f t="shared" si="8"/>
        <v>3.E</v>
      </c>
    </row>
    <row r="70" spans="3:15" x14ac:dyDescent="0.25">
      <c r="C70" s="9">
        <v>53</v>
      </c>
      <c r="D70" s="16">
        <v>114</v>
      </c>
      <c r="E70" s="10" t="str">
        <f t="shared" si="3"/>
        <v>114</v>
      </c>
      <c r="F70" s="10" t="str">
        <f t="shared" si="4"/>
        <v>11</v>
      </c>
      <c r="G70" s="10">
        <f t="shared" si="5"/>
        <v>1</v>
      </c>
      <c r="H70" s="10" t="b">
        <f>IF(ISERROR(VLOOKUP(E70,cuentas_pyme!C:C,1,FALSE)),FALSE,TRUE)</f>
        <v>1</v>
      </c>
      <c r="I70" s="10" t="str">
        <f>VLOOKUP(D70,cuentas_balance!C:I,7,FALSE)</f>
        <v>3.E.1.3</v>
      </c>
      <c r="J70" s="11" t="str">
        <f t="shared" si="6"/>
        <v>3.E.1.3.114</v>
      </c>
      <c r="K70" s="10" t="str">
        <f t="shared" si="7"/>
        <v>3.E.1.3</v>
      </c>
      <c r="L70" s="10" t="str">
        <f t="shared" si="1"/>
        <v>3.E.1.3</v>
      </c>
      <c r="M70" s="12" t="s">
        <v>1621</v>
      </c>
      <c r="N70" t="s">
        <v>1582</v>
      </c>
      <c r="O70" t="str">
        <f t="shared" si="8"/>
        <v>3.E</v>
      </c>
    </row>
    <row r="71" spans="3:15" x14ac:dyDescent="0.25">
      <c r="C71" s="9">
        <v>54</v>
      </c>
      <c r="D71" s="16">
        <v>1140</v>
      </c>
      <c r="E71" s="10" t="str">
        <f t="shared" si="3"/>
        <v>1140</v>
      </c>
      <c r="F71" s="10" t="str">
        <f t="shared" si="4"/>
        <v>114</v>
      </c>
      <c r="G71" s="10">
        <f t="shared" si="5"/>
        <v>0</v>
      </c>
      <c r="H71" s="10" t="b">
        <f>IF(ISERROR(VLOOKUP(E71,cuentas_pyme!C:C,1,FALSE)),FALSE,TRUE)</f>
        <v>1</v>
      </c>
      <c r="I71" s="10" t="s">
        <v>2672</v>
      </c>
      <c r="J71" s="11" t="s">
        <v>2673</v>
      </c>
      <c r="K71" s="10" t="str">
        <f t="shared" si="7"/>
        <v>3.E.1.3.114</v>
      </c>
      <c r="L71" s="10" t="str">
        <f t="shared" si="1"/>
        <v>3.E.1.3.114</v>
      </c>
      <c r="M71" s="13" t="s">
        <v>1622</v>
      </c>
      <c r="N71" t="s">
        <v>1582</v>
      </c>
      <c r="O71" t="str">
        <f t="shared" si="8"/>
        <v>3.E</v>
      </c>
    </row>
    <row r="72" spans="3:15" x14ac:dyDescent="0.25">
      <c r="C72" s="9">
        <v>55</v>
      </c>
      <c r="D72" s="16">
        <v>1141</v>
      </c>
      <c r="E72" s="10" t="str">
        <f t="shared" si="3"/>
        <v>1141</v>
      </c>
      <c r="F72" s="10" t="str">
        <f t="shared" si="4"/>
        <v>114</v>
      </c>
      <c r="G72" s="10">
        <f t="shared" si="5"/>
        <v>0</v>
      </c>
      <c r="H72" s="10" t="b">
        <f>IF(ISERROR(VLOOKUP(E72,cuentas_pyme!C:C,1,FALSE)),FALSE,TRUE)</f>
        <v>1</v>
      </c>
      <c r="I72" s="10" t="s">
        <v>2672</v>
      </c>
      <c r="J72" s="11" t="s">
        <v>2674</v>
      </c>
      <c r="K72" s="10" t="str">
        <f t="shared" si="7"/>
        <v>3.E.1.3.114</v>
      </c>
      <c r="L72" s="10" t="str">
        <f t="shared" si="1"/>
        <v>3.E.1.3.114</v>
      </c>
      <c r="M72" s="12" t="s">
        <v>1623</v>
      </c>
      <c r="N72" t="s">
        <v>1582</v>
      </c>
      <c r="O72" t="str">
        <f t="shared" si="8"/>
        <v>3.E</v>
      </c>
    </row>
    <row r="73" spans="3:15" x14ac:dyDescent="0.25">
      <c r="C73" s="9">
        <v>56</v>
      </c>
      <c r="D73" s="16">
        <v>1142</v>
      </c>
      <c r="E73" s="10" t="str">
        <f t="shared" si="3"/>
        <v>1142</v>
      </c>
      <c r="F73" s="10" t="str">
        <f t="shared" si="4"/>
        <v>114</v>
      </c>
      <c r="G73" s="10">
        <f t="shared" si="5"/>
        <v>0</v>
      </c>
      <c r="H73" s="10" t="b">
        <f>IF(ISERROR(VLOOKUP(E73,cuentas_pyme!C:C,1,FALSE)),FALSE,TRUE)</f>
        <v>1</v>
      </c>
      <c r="I73" s="10" t="s">
        <v>2672</v>
      </c>
      <c r="J73" s="11" t="s">
        <v>2675</v>
      </c>
      <c r="K73" s="10" t="str">
        <f t="shared" si="7"/>
        <v>3.E.1.3.114</v>
      </c>
      <c r="L73" s="10" t="str">
        <f t="shared" ref="L73:L136" si="9">VLOOKUP(K73,J:J,1,FALSE)</f>
        <v>3.E.1.3.114</v>
      </c>
      <c r="M73" s="12" t="s">
        <v>1624</v>
      </c>
      <c r="N73" t="s">
        <v>1582</v>
      </c>
      <c r="O73" t="str">
        <f t="shared" si="8"/>
        <v>3.E</v>
      </c>
    </row>
    <row r="74" spans="3:15" x14ac:dyDescent="0.25">
      <c r="C74" s="9">
        <v>58</v>
      </c>
      <c r="D74" s="16">
        <v>1144</v>
      </c>
      <c r="E74" s="10" t="str">
        <f t="shared" si="3"/>
        <v>1144</v>
      </c>
      <c r="F74" s="10" t="str">
        <f t="shared" si="4"/>
        <v>114</v>
      </c>
      <c r="G74" s="10">
        <f t="shared" si="5"/>
        <v>0</v>
      </c>
      <c r="H74" s="10" t="b">
        <f>IF(ISERROR(VLOOKUP(E74,cuentas_pyme!C:C,1,FALSE)),FALSE,TRUE)</f>
        <v>1</v>
      </c>
      <c r="I74" s="10" t="s">
        <v>2672</v>
      </c>
      <c r="J74" s="11" t="s">
        <v>2676</v>
      </c>
      <c r="K74" s="10" t="str">
        <f t="shared" si="7"/>
        <v>3.E.1.3.114</v>
      </c>
      <c r="L74" s="10" t="str">
        <f t="shared" si="9"/>
        <v>3.E.1.3.114</v>
      </c>
      <c r="M74" s="12" t="s">
        <v>1625</v>
      </c>
      <c r="N74" t="s">
        <v>1582</v>
      </c>
      <c r="O74" t="str">
        <f t="shared" si="8"/>
        <v>3.E</v>
      </c>
    </row>
    <row r="75" spans="3:15" x14ac:dyDescent="0.25">
      <c r="C75" s="9">
        <v>60</v>
      </c>
      <c r="D75" s="16">
        <v>118</v>
      </c>
      <c r="E75" s="10" t="str">
        <f t="shared" si="3"/>
        <v>118</v>
      </c>
      <c r="F75" s="10" t="str">
        <f t="shared" si="4"/>
        <v>11</v>
      </c>
      <c r="G75" s="10">
        <f t="shared" si="5"/>
        <v>0</v>
      </c>
      <c r="H75" s="10" t="b">
        <f>IF(ISERROR(VLOOKUP(E75,cuentas_pyme!C:C,1,FALSE)),FALSE,TRUE)</f>
        <v>1</v>
      </c>
      <c r="I75" s="10" t="str">
        <f>VLOOKUP(D75,cuentas_balance!C:I,7,FALSE)</f>
        <v>3.E.1.6</v>
      </c>
      <c r="J75" s="11" t="str">
        <f t="shared" si="6"/>
        <v>3.E.1.6.118</v>
      </c>
      <c r="K75" s="10" t="str">
        <f t="shared" si="7"/>
        <v>3.E.1.6</v>
      </c>
      <c r="L75" s="10" t="str">
        <f t="shared" si="9"/>
        <v>3.E.1.6</v>
      </c>
      <c r="M75" s="12" t="s">
        <v>1626</v>
      </c>
      <c r="N75" t="s">
        <v>1582</v>
      </c>
      <c r="O75" t="str">
        <f t="shared" si="8"/>
        <v>3.E</v>
      </c>
    </row>
    <row r="76" spans="3:15" x14ac:dyDescent="0.25">
      <c r="C76" s="9">
        <v>61</v>
      </c>
      <c r="D76" s="16">
        <v>119</v>
      </c>
      <c r="E76" s="10" t="str">
        <f t="shared" si="3"/>
        <v>119</v>
      </c>
      <c r="F76" s="10" t="str">
        <f t="shared" si="4"/>
        <v>11</v>
      </c>
      <c r="G76" s="10">
        <f t="shared" si="5"/>
        <v>0</v>
      </c>
      <c r="H76" s="10" t="b">
        <f>IF(ISERROR(VLOOKUP(E76,cuentas_pyme!C:C,1,FALSE)),FALSE,TRUE)</f>
        <v>1</v>
      </c>
      <c r="I76" s="10" t="str">
        <f>VLOOKUP(D76,cuentas_balance!C:I,7,FALSE)</f>
        <v>3.E.1.3</v>
      </c>
      <c r="J76" s="11" t="str">
        <f t="shared" si="6"/>
        <v>3.E.1.3.119</v>
      </c>
      <c r="K76" s="10" t="str">
        <f t="shared" si="7"/>
        <v>3.E.1.3</v>
      </c>
      <c r="L76" s="10" t="str">
        <f t="shared" si="9"/>
        <v>3.E.1.3</v>
      </c>
      <c r="M76" s="12" t="s">
        <v>1627</v>
      </c>
      <c r="N76" t="s">
        <v>1582</v>
      </c>
      <c r="O76" t="str">
        <f t="shared" si="8"/>
        <v>3.E</v>
      </c>
    </row>
    <row r="77" spans="3:15" x14ac:dyDescent="0.25">
      <c r="C77" s="9">
        <v>63</v>
      </c>
      <c r="D77" s="16">
        <v>120</v>
      </c>
      <c r="E77" s="10" t="str">
        <f t="shared" si="3"/>
        <v>120</v>
      </c>
      <c r="F77" s="10" t="str">
        <f t="shared" si="4"/>
        <v>12</v>
      </c>
      <c r="G77" s="10">
        <f t="shared" si="5"/>
        <v>0</v>
      </c>
      <c r="H77" s="10" t="b">
        <f>IF(ISERROR(VLOOKUP(E77,cuentas_pyme!C:C,1,FALSE)),FALSE,TRUE)</f>
        <v>1</v>
      </c>
      <c r="I77" s="10" t="str">
        <f>VLOOKUP(D77,cuentas_balance!C:I,7,FALSE)</f>
        <v>3.E.1.5</v>
      </c>
      <c r="J77" s="11" t="str">
        <f t="shared" si="6"/>
        <v>3.E.1.5.120</v>
      </c>
      <c r="K77" s="10" t="str">
        <f t="shared" si="7"/>
        <v>3.E.1.5</v>
      </c>
      <c r="L77" s="10" t="str">
        <f t="shared" si="9"/>
        <v>3.E.1.5</v>
      </c>
      <c r="M77" s="12" t="s">
        <v>1628</v>
      </c>
      <c r="N77" t="s">
        <v>1582</v>
      </c>
      <c r="O77" t="str">
        <f t="shared" si="8"/>
        <v>3.E</v>
      </c>
    </row>
    <row r="78" spans="3:15" x14ac:dyDescent="0.25">
      <c r="C78" s="9">
        <v>64</v>
      </c>
      <c r="D78" s="16">
        <v>121</v>
      </c>
      <c r="E78" s="10" t="str">
        <f t="shared" si="3"/>
        <v>121</v>
      </c>
      <c r="F78" s="10" t="str">
        <f t="shared" si="4"/>
        <v>12</v>
      </c>
      <c r="G78" s="10">
        <f t="shared" si="5"/>
        <v>0</v>
      </c>
      <c r="H78" s="10" t="b">
        <f>IF(ISERROR(VLOOKUP(E78,cuentas_pyme!C:C,1,FALSE)),FALSE,TRUE)</f>
        <v>1</v>
      </c>
      <c r="I78" s="10" t="str">
        <f>VLOOKUP(D78,cuentas_balance!C:I,7,FALSE)</f>
        <v>3.E.1.5</v>
      </c>
      <c r="J78" s="11" t="str">
        <f t="shared" si="6"/>
        <v>3.E.1.5.121</v>
      </c>
      <c r="K78" s="10" t="str">
        <f t="shared" si="7"/>
        <v>3.E.1.5</v>
      </c>
      <c r="L78" s="10" t="str">
        <f t="shared" si="9"/>
        <v>3.E.1.5</v>
      </c>
      <c r="M78" s="12" t="s">
        <v>1629</v>
      </c>
      <c r="N78" t="s">
        <v>1582</v>
      </c>
      <c r="O78" t="str">
        <f t="shared" si="8"/>
        <v>3.E</v>
      </c>
    </row>
    <row r="79" spans="3:15" x14ac:dyDescent="0.25">
      <c r="C79" s="9">
        <v>65</v>
      </c>
      <c r="D79" s="16">
        <v>129</v>
      </c>
      <c r="E79" s="10" t="str">
        <f t="shared" si="3"/>
        <v>129</v>
      </c>
      <c r="F79" s="10" t="str">
        <f t="shared" si="4"/>
        <v>12</v>
      </c>
      <c r="G79" s="10">
        <f t="shared" si="5"/>
        <v>0</v>
      </c>
      <c r="H79" s="10" t="b">
        <f>IF(ISERROR(VLOOKUP(E79,cuentas_pyme!C:C,1,FALSE)),FALSE,TRUE)</f>
        <v>1</v>
      </c>
      <c r="I79" s="10" t="str">
        <f>VLOOKUP(D79,cuentas_balance!C:I,7,FALSE)</f>
        <v>3.E.1.7</v>
      </c>
      <c r="J79" s="11" t="str">
        <f t="shared" si="6"/>
        <v>3.E.1.7.129</v>
      </c>
      <c r="K79" s="10" t="str">
        <f t="shared" si="7"/>
        <v>3.E.1.7</v>
      </c>
      <c r="L79" s="10" t="str">
        <f t="shared" si="9"/>
        <v>3.E.1.7</v>
      </c>
      <c r="M79" s="12" t="s">
        <v>1630</v>
      </c>
      <c r="N79" t="s">
        <v>1582</v>
      </c>
      <c r="O79" t="str">
        <f t="shared" si="8"/>
        <v>3.E</v>
      </c>
    </row>
    <row r="80" spans="3:15" x14ac:dyDescent="0.25">
      <c r="C80" s="9">
        <v>67</v>
      </c>
      <c r="D80" s="16">
        <v>130</v>
      </c>
      <c r="E80" s="10" t="str">
        <f t="shared" si="3"/>
        <v>130</v>
      </c>
      <c r="F80" s="10" t="str">
        <f t="shared" si="4"/>
        <v>13</v>
      </c>
      <c r="G80" s="10">
        <f t="shared" si="5"/>
        <v>0</v>
      </c>
      <c r="H80" s="10" t="b">
        <f>IF(ISERROR(VLOOKUP(E80,cuentas_pyme!C:C,1,FALSE)),FALSE,TRUE)</f>
        <v>1</v>
      </c>
      <c r="I80" s="10" t="str">
        <f>VLOOKUP(D80,cuentas_balance!C:I,7,FALSE)</f>
        <v>3.E.2</v>
      </c>
      <c r="J80" s="11" t="str">
        <f t="shared" si="6"/>
        <v>3.E.2.130</v>
      </c>
      <c r="K80" s="10" t="str">
        <f t="shared" si="7"/>
        <v>3.E.2</v>
      </c>
      <c r="L80" s="10" t="str">
        <f t="shared" si="9"/>
        <v>3.E.2</v>
      </c>
      <c r="M80" s="12" t="s">
        <v>1631</v>
      </c>
      <c r="N80" t="s">
        <v>1581</v>
      </c>
      <c r="O80" t="str">
        <f t="shared" si="8"/>
        <v>2.P</v>
      </c>
    </row>
    <row r="81" spans="3:15" x14ac:dyDescent="0.25">
      <c r="C81" s="9">
        <v>68</v>
      </c>
      <c r="D81" s="16">
        <v>131</v>
      </c>
      <c r="E81" s="10" t="str">
        <f t="shared" si="3"/>
        <v>131</v>
      </c>
      <c r="F81" s="10" t="str">
        <f t="shared" si="4"/>
        <v>13</v>
      </c>
      <c r="G81" s="10">
        <f t="shared" si="5"/>
        <v>0</v>
      </c>
      <c r="H81" s="10" t="b">
        <f>IF(ISERROR(VLOOKUP(E81,cuentas_pyme!C:C,1,FALSE)),FALSE,TRUE)</f>
        <v>1</v>
      </c>
      <c r="I81" s="10" t="str">
        <f>VLOOKUP(D81,cuentas_balance!C:I,7,FALSE)</f>
        <v>3.E.2</v>
      </c>
      <c r="J81" s="11" t="str">
        <f t="shared" si="6"/>
        <v>3.E.2.131</v>
      </c>
      <c r="K81" s="10" t="str">
        <f t="shared" si="7"/>
        <v>3.E.2</v>
      </c>
      <c r="L81" s="10" t="str">
        <f t="shared" si="9"/>
        <v>3.E.2</v>
      </c>
      <c r="M81" s="12" t="s">
        <v>1632</v>
      </c>
      <c r="N81" t="s">
        <v>1581</v>
      </c>
      <c r="O81" t="str">
        <f t="shared" si="8"/>
        <v>2.P</v>
      </c>
    </row>
    <row r="82" spans="3:15" x14ac:dyDescent="0.25">
      <c r="C82" s="9">
        <v>69</v>
      </c>
      <c r="D82" s="16">
        <v>132</v>
      </c>
      <c r="E82" s="10" t="str">
        <f t="shared" si="3"/>
        <v>132</v>
      </c>
      <c r="F82" s="10" t="str">
        <f t="shared" si="4"/>
        <v>13</v>
      </c>
      <c r="G82" s="10">
        <f t="shared" si="5"/>
        <v>0</v>
      </c>
      <c r="H82" s="10" t="b">
        <f>IF(ISERROR(VLOOKUP(E82,cuentas_pyme!C:C,1,FALSE)),FALSE,TRUE)</f>
        <v>1</v>
      </c>
      <c r="I82" s="10" t="str">
        <f>VLOOKUP(D82,cuentas_balance!C:I,7,FALSE)</f>
        <v>3.E.2</v>
      </c>
      <c r="J82" s="11" t="str">
        <f t="shared" si="6"/>
        <v>3.E.2.132</v>
      </c>
      <c r="K82" s="10" t="str">
        <f t="shared" si="7"/>
        <v>3.E.2</v>
      </c>
      <c r="L82" s="10" t="str">
        <f t="shared" si="9"/>
        <v>3.E.2</v>
      </c>
      <c r="M82" s="12" t="s">
        <v>1633</v>
      </c>
      <c r="N82" t="s">
        <v>1581</v>
      </c>
      <c r="O82" t="str">
        <f t="shared" si="8"/>
        <v>2.P</v>
      </c>
    </row>
    <row r="83" spans="3:15" x14ac:dyDescent="0.25">
      <c r="C83" s="9">
        <v>79</v>
      </c>
      <c r="D83" s="16">
        <v>14</v>
      </c>
      <c r="E83" s="10" t="str">
        <f t="shared" si="3"/>
        <v>14</v>
      </c>
      <c r="F83" s="10" t="str">
        <f t="shared" si="4"/>
        <v>1</v>
      </c>
      <c r="G83" s="10">
        <f t="shared" si="5"/>
        <v>1</v>
      </c>
      <c r="H83" s="10" t="b">
        <f>IF(ISERROR(VLOOKUP(E83,cuentas_pyme!C:C,1,FALSE)),FALSE,TRUE)</f>
        <v>1</v>
      </c>
      <c r="I83" s="10" t="str">
        <f>VLOOKUP(D83,cuentas_balance!C:I,7,FALSE)</f>
        <v>2.P.1.1</v>
      </c>
      <c r="J83" s="11" t="str">
        <f t="shared" si="6"/>
        <v>2.P.1.1.14</v>
      </c>
      <c r="K83" s="10" t="str">
        <f t="shared" si="7"/>
        <v>2.P.1.1</v>
      </c>
      <c r="L83" s="10" t="str">
        <f t="shared" si="9"/>
        <v>2.P.1.1</v>
      </c>
      <c r="M83" s="12" t="s">
        <v>3069</v>
      </c>
      <c r="N83" t="s">
        <v>1581</v>
      </c>
      <c r="O83" t="str">
        <f t="shared" si="8"/>
        <v>2.P</v>
      </c>
    </row>
    <row r="84" spans="3:15" x14ac:dyDescent="0.25">
      <c r="C84" s="9">
        <v>81</v>
      </c>
      <c r="D84" s="16">
        <v>141</v>
      </c>
      <c r="E84" s="10" t="str">
        <f t="shared" si="3"/>
        <v>141</v>
      </c>
      <c r="F84" s="10" t="str">
        <f t="shared" si="4"/>
        <v>14</v>
      </c>
      <c r="G84" s="10">
        <f t="shared" si="5"/>
        <v>0</v>
      </c>
      <c r="H84" s="10" t="b">
        <f>IF(ISERROR(VLOOKUP(E84,cuentas_pyme!C:C,1,FALSE)),FALSE,TRUE)</f>
        <v>1</v>
      </c>
      <c r="I84" s="10" t="s">
        <v>2677</v>
      </c>
      <c r="J84" s="11" t="s">
        <v>2678</v>
      </c>
      <c r="K84" s="10" t="str">
        <f t="shared" si="7"/>
        <v>2.P.1.1.14</v>
      </c>
      <c r="L84" s="10" t="str">
        <f t="shared" si="9"/>
        <v>2.P.1.1.14</v>
      </c>
      <c r="M84" s="12" t="s">
        <v>1634</v>
      </c>
      <c r="N84" t="s">
        <v>1581</v>
      </c>
      <c r="O84" t="str">
        <f t="shared" si="8"/>
        <v>2.P</v>
      </c>
    </row>
    <row r="85" spans="3:15" x14ac:dyDescent="0.25">
      <c r="C85" s="9">
        <v>82</v>
      </c>
      <c r="D85" s="16">
        <v>142</v>
      </c>
      <c r="E85" s="10" t="str">
        <f t="shared" si="3"/>
        <v>142</v>
      </c>
      <c r="F85" s="10" t="str">
        <f t="shared" si="4"/>
        <v>14</v>
      </c>
      <c r="G85" s="10">
        <f t="shared" si="5"/>
        <v>0</v>
      </c>
      <c r="H85" s="10" t="b">
        <f>IF(ISERROR(VLOOKUP(E85,cuentas_pyme!C:C,1,FALSE)),FALSE,TRUE)</f>
        <v>1</v>
      </c>
      <c r="I85" s="10" t="s">
        <v>2677</v>
      </c>
      <c r="J85" s="11" t="s">
        <v>2679</v>
      </c>
      <c r="K85" s="10" t="str">
        <f t="shared" si="7"/>
        <v>2.P.1.1.14</v>
      </c>
      <c r="L85" s="10" t="str">
        <f t="shared" si="9"/>
        <v>2.P.1.1.14</v>
      </c>
      <c r="M85" s="12" t="s">
        <v>1635</v>
      </c>
      <c r="N85" t="s">
        <v>1581</v>
      </c>
      <c r="O85" t="str">
        <f t="shared" si="8"/>
        <v>2.P</v>
      </c>
    </row>
    <row r="86" spans="3:15" x14ac:dyDescent="0.25">
      <c r="C86" s="9">
        <v>83</v>
      </c>
      <c r="D86" s="16">
        <v>143</v>
      </c>
      <c r="E86" s="10" t="str">
        <f t="shared" si="3"/>
        <v>143</v>
      </c>
      <c r="F86" s="10" t="str">
        <f t="shared" si="4"/>
        <v>14</v>
      </c>
      <c r="G86" s="10">
        <f t="shared" si="5"/>
        <v>0</v>
      </c>
      <c r="H86" s="10" t="b">
        <f>IF(ISERROR(VLOOKUP(E86,cuentas_pyme!C:C,1,FALSE)),FALSE,TRUE)</f>
        <v>1</v>
      </c>
      <c r="I86" s="10" t="s">
        <v>2677</v>
      </c>
      <c r="J86" s="11" t="s">
        <v>2680</v>
      </c>
      <c r="K86" s="10" t="str">
        <f t="shared" si="7"/>
        <v>2.P.1.1.14</v>
      </c>
      <c r="L86" s="10" t="str">
        <f t="shared" si="9"/>
        <v>2.P.1.1.14</v>
      </c>
      <c r="M86" s="12" t="s">
        <v>1636</v>
      </c>
      <c r="N86" t="s">
        <v>1581</v>
      </c>
      <c r="O86" t="str">
        <f t="shared" si="8"/>
        <v>2.P</v>
      </c>
    </row>
    <row r="87" spans="3:15" x14ac:dyDescent="0.25">
      <c r="C87" s="9">
        <v>84</v>
      </c>
      <c r="D87" s="16">
        <v>145</v>
      </c>
      <c r="E87" s="10" t="str">
        <f t="shared" si="3"/>
        <v>145</v>
      </c>
      <c r="F87" s="10" t="str">
        <f t="shared" si="4"/>
        <v>14</v>
      </c>
      <c r="G87" s="10">
        <f t="shared" si="5"/>
        <v>0</v>
      </c>
      <c r="H87" s="10" t="b">
        <f>IF(ISERROR(VLOOKUP(E87,cuentas_pyme!C:C,1,FALSE)),FALSE,TRUE)</f>
        <v>1</v>
      </c>
      <c r="I87" s="10" t="s">
        <v>2677</v>
      </c>
      <c r="J87" s="11" t="s">
        <v>2681</v>
      </c>
      <c r="K87" s="10" t="str">
        <f t="shared" si="7"/>
        <v>2.P.1.1.14</v>
      </c>
      <c r="L87" s="10" t="str">
        <f t="shared" si="9"/>
        <v>2.P.1.1.14</v>
      </c>
      <c r="M87" s="12" t="s">
        <v>1637</v>
      </c>
      <c r="N87" t="s">
        <v>1581</v>
      </c>
      <c r="O87" t="str">
        <f t="shared" si="8"/>
        <v>2.P</v>
      </c>
    </row>
    <row r="88" spans="3:15" x14ac:dyDescent="0.25">
      <c r="C88" s="9">
        <v>101</v>
      </c>
      <c r="D88" s="16">
        <v>1603</v>
      </c>
      <c r="E88" s="10" t="str">
        <f t="shared" si="3"/>
        <v>1603</v>
      </c>
      <c r="F88" s="10" t="str">
        <f t="shared" si="4"/>
        <v>160</v>
      </c>
      <c r="G88" s="10">
        <f t="shared" si="5"/>
        <v>0</v>
      </c>
      <c r="H88" s="10" t="b">
        <f>IF(ISERROR(VLOOKUP(E88,cuentas_pyme!C:C,1,FALSE)),FALSE,TRUE)</f>
        <v>1</v>
      </c>
      <c r="I88" s="10" t="str">
        <f>VLOOKUP(D88,cuentas_balance!C:I,7,FALSE)</f>
        <v>2.P.1.3</v>
      </c>
      <c r="J88" s="11" t="str">
        <f t="shared" si="6"/>
        <v>2.P.1.3.1603</v>
      </c>
      <c r="K88" s="10" t="str">
        <f t="shared" si="7"/>
        <v>2.P.1.3</v>
      </c>
      <c r="L88" s="10" t="str">
        <f t="shared" si="9"/>
        <v>2.P.1.3</v>
      </c>
      <c r="M88" s="12" t="s">
        <v>1638</v>
      </c>
      <c r="N88" t="s">
        <v>1581</v>
      </c>
      <c r="O88" t="str">
        <f t="shared" si="8"/>
        <v>2.P</v>
      </c>
    </row>
    <row r="89" spans="3:15" x14ac:dyDescent="0.25">
      <c r="C89" s="9">
        <v>102</v>
      </c>
      <c r="D89" s="16">
        <v>1604</v>
      </c>
      <c r="E89" s="10" t="str">
        <f t="shared" si="3"/>
        <v>1604</v>
      </c>
      <c r="F89" s="10" t="str">
        <f t="shared" si="4"/>
        <v>160</v>
      </c>
      <c r="G89" s="10">
        <f t="shared" si="5"/>
        <v>0</v>
      </c>
      <c r="H89" s="10" t="b">
        <f>IF(ISERROR(VLOOKUP(E89,cuentas_pyme!C:C,1,FALSE)),FALSE,TRUE)</f>
        <v>1</v>
      </c>
      <c r="I89" s="10" t="str">
        <f>VLOOKUP(D89,cuentas_balance!C:I,7,FALSE)</f>
        <v>2.P.1.3</v>
      </c>
      <c r="J89" s="11" t="str">
        <f t="shared" si="6"/>
        <v>2.P.1.3.1604</v>
      </c>
      <c r="K89" s="10" t="str">
        <f t="shared" si="7"/>
        <v>2.P.1.3</v>
      </c>
      <c r="L89" s="10" t="str">
        <f t="shared" si="9"/>
        <v>2.P.1.3</v>
      </c>
      <c r="M89" s="12" t="s">
        <v>1639</v>
      </c>
      <c r="N89" t="s">
        <v>1581</v>
      </c>
      <c r="O89" t="str">
        <f t="shared" si="8"/>
        <v>2.P</v>
      </c>
    </row>
    <row r="90" spans="3:15" x14ac:dyDescent="0.25">
      <c r="C90" s="9">
        <v>103</v>
      </c>
      <c r="D90" s="16">
        <v>1605</v>
      </c>
      <c r="E90" s="10" t="str">
        <f t="shared" si="3"/>
        <v>1605</v>
      </c>
      <c r="F90" s="10" t="str">
        <f t="shared" si="4"/>
        <v>160</v>
      </c>
      <c r="G90" s="10">
        <f t="shared" si="5"/>
        <v>0</v>
      </c>
      <c r="H90" s="10" t="b">
        <f>IF(ISERROR(VLOOKUP(E90,cuentas_pyme!C:C,1,FALSE)),FALSE,TRUE)</f>
        <v>1</v>
      </c>
      <c r="I90" s="10" t="str">
        <f>VLOOKUP(D90,cuentas_balance!C:I,7,FALSE)</f>
        <v>2.P.1.2.1</v>
      </c>
      <c r="J90" s="11" t="str">
        <f t="shared" si="6"/>
        <v>2.P.1.2.1.1605</v>
      </c>
      <c r="K90" s="10" t="str">
        <f t="shared" si="7"/>
        <v>2.P.1.2.1</v>
      </c>
      <c r="L90" s="10" t="str">
        <f t="shared" si="9"/>
        <v>2.P.1.2.1</v>
      </c>
      <c r="M90" s="12" t="s">
        <v>1640</v>
      </c>
      <c r="N90" t="s">
        <v>1581</v>
      </c>
      <c r="O90" t="str">
        <f t="shared" si="8"/>
        <v>2.P</v>
      </c>
    </row>
    <row r="91" spans="3:15" x14ac:dyDescent="0.25">
      <c r="C91" s="9">
        <v>105</v>
      </c>
      <c r="D91" s="16">
        <v>1613</v>
      </c>
      <c r="E91" s="10" t="str">
        <f t="shared" si="3"/>
        <v>1613</v>
      </c>
      <c r="F91" s="10" t="str">
        <f t="shared" si="4"/>
        <v>161</v>
      </c>
      <c r="G91" s="10">
        <f t="shared" si="5"/>
        <v>0</v>
      </c>
      <c r="H91" s="10" t="b">
        <f>IF(ISERROR(VLOOKUP(E91,cuentas_pyme!C:C,1,FALSE)),FALSE,TRUE)</f>
        <v>1</v>
      </c>
      <c r="I91" s="10" t="str">
        <f>VLOOKUP(D91,cuentas_balance!C:I,7,FALSE)</f>
        <v>2.P.1.3</v>
      </c>
      <c r="J91" s="11" t="str">
        <f t="shared" si="6"/>
        <v>2.P.1.3.1613</v>
      </c>
      <c r="K91" s="10" t="str">
        <f t="shared" si="7"/>
        <v>2.P.1.3</v>
      </c>
      <c r="L91" s="10" t="str">
        <f t="shared" si="9"/>
        <v>2.P.1.3</v>
      </c>
      <c r="M91" s="12" t="s">
        <v>1641</v>
      </c>
      <c r="N91" t="s">
        <v>1581</v>
      </c>
      <c r="O91" t="str">
        <f t="shared" si="8"/>
        <v>2.P</v>
      </c>
    </row>
    <row r="92" spans="3:15" x14ac:dyDescent="0.25">
      <c r="C92" s="9">
        <v>106</v>
      </c>
      <c r="D92" s="16">
        <v>1614</v>
      </c>
      <c r="E92" s="10" t="str">
        <f t="shared" si="3"/>
        <v>1614</v>
      </c>
      <c r="F92" s="10" t="str">
        <f t="shared" si="4"/>
        <v>161</v>
      </c>
      <c r="G92" s="10">
        <f t="shared" si="5"/>
        <v>0</v>
      </c>
      <c r="H92" s="10" t="b">
        <f>IF(ISERROR(VLOOKUP(E92,cuentas_pyme!C:C,1,FALSE)),FALSE,TRUE)</f>
        <v>1</v>
      </c>
      <c r="I92" s="10" t="str">
        <f>VLOOKUP(D92,cuentas_balance!C:I,7,FALSE)</f>
        <v>2.P.1.3</v>
      </c>
      <c r="J92" s="11" t="str">
        <f t="shared" si="6"/>
        <v>2.P.1.3.1614</v>
      </c>
      <c r="K92" s="10" t="str">
        <f t="shared" si="7"/>
        <v>2.P.1.3</v>
      </c>
      <c r="L92" s="10" t="str">
        <f t="shared" si="9"/>
        <v>2.P.1.3</v>
      </c>
      <c r="M92" s="12" t="s">
        <v>1642</v>
      </c>
      <c r="N92" t="s">
        <v>1581</v>
      </c>
      <c r="O92" t="str">
        <f t="shared" si="8"/>
        <v>2.P</v>
      </c>
    </row>
    <row r="93" spans="3:15" x14ac:dyDescent="0.25">
      <c r="C93" s="9">
        <v>107</v>
      </c>
      <c r="D93" s="16">
        <v>1615</v>
      </c>
      <c r="E93" s="10" t="str">
        <f t="shared" si="3"/>
        <v>1615</v>
      </c>
      <c r="F93" s="10" t="str">
        <f t="shared" si="4"/>
        <v>161</v>
      </c>
      <c r="G93" s="10">
        <f t="shared" si="5"/>
        <v>0</v>
      </c>
      <c r="H93" s="10" t="b">
        <f>IF(ISERROR(VLOOKUP(E93,cuentas_pyme!C:C,1,FALSE)),FALSE,TRUE)</f>
        <v>1</v>
      </c>
      <c r="I93" s="10" t="str">
        <f>VLOOKUP(D93,cuentas_balance!C:I,7,FALSE)</f>
        <v>2.P.1.2.3</v>
      </c>
      <c r="J93" s="11" t="str">
        <f t="shared" si="6"/>
        <v>2.P.1.2.3.1615</v>
      </c>
      <c r="K93" s="10" t="str">
        <f t="shared" si="7"/>
        <v>2.P.1.2.3</v>
      </c>
      <c r="L93" s="10" t="str">
        <f t="shared" si="9"/>
        <v>2.P.1.2.3</v>
      </c>
      <c r="M93" s="12" t="s">
        <v>1643</v>
      </c>
      <c r="N93" t="s">
        <v>1581</v>
      </c>
      <c r="O93" t="str">
        <f t="shared" si="8"/>
        <v>2.P</v>
      </c>
    </row>
    <row r="94" spans="3:15" x14ac:dyDescent="0.25">
      <c r="C94" s="9">
        <v>109</v>
      </c>
      <c r="D94" s="16">
        <v>1623</v>
      </c>
      <c r="E94" s="10" t="str">
        <f t="shared" si="3"/>
        <v>1623</v>
      </c>
      <c r="F94" s="10" t="str">
        <f t="shared" si="4"/>
        <v>162</v>
      </c>
      <c r="G94" s="10">
        <f t="shared" si="5"/>
        <v>0</v>
      </c>
      <c r="H94" s="10" t="b">
        <f>IF(ISERROR(VLOOKUP(E94,cuentas_pyme!C:C,1,FALSE)),FALSE,TRUE)</f>
        <v>1</v>
      </c>
      <c r="I94" s="10" t="str">
        <f>VLOOKUP(D94,cuentas_balance!C:I,7,FALSE)</f>
        <v>2.P.1.3</v>
      </c>
      <c r="J94" s="11" t="str">
        <f t="shared" si="6"/>
        <v>2.P.1.3.1623</v>
      </c>
      <c r="K94" s="10" t="str">
        <f t="shared" si="7"/>
        <v>2.P.1.3</v>
      </c>
      <c r="L94" s="10" t="str">
        <f t="shared" si="9"/>
        <v>2.P.1.3</v>
      </c>
      <c r="M94" s="12" t="s">
        <v>1644</v>
      </c>
      <c r="N94" t="s">
        <v>1581</v>
      </c>
      <c r="O94" t="str">
        <f t="shared" si="8"/>
        <v>2.P</v>
      </c>
    </row>
    <row r="95" spans="3:15" x14ac:dyDescent="0.25">
      <c r="C95" s="9">
        <v>110</v>
      </c>
      <c r="D95" s="16">
        <v>1624</v>
      </c>
      <c r="E95" s="10" t="str">
        <f t="shared" si="3"/>
        <v>1624</v>
      </c>
      <c r="F95" s="10" t="str">
        <f t="shared" si="4"/>
        <v>162</v>
      </c>
      <c r="G95" s="10">
        <f t="shared" si="5"/>
        <v>0</v>
      </c>
      <c r="H95" s="10" t="b">
        <f>IF(ISERROR(VLOOKUP(E95,cuentas_pyme!C:C,1,FALSE)),FALSE,TRUE)</f>
        <v>1</v>
      </c>
      <c r="I95" s="10" t="str">
        <f>VLOOKUP(D95,cuentas_balance!C:I,7,FALSE)</f>
        <v>2.P.1.3</v>
      </c>
      <c r="J95" s="11" t="str">
        <f t="shared" si="6"/>
        <v>2.P.1.3.1624</v>
      </c>
      <c r="K95" s="10" t="str">
        <f t="shared" si="7"/>
        <v>2.P.1.3</v>
      </c>
      <c r="L95" s="10" t="str">
        <f t="shared" si="9"/>
        <v>2.P.1.3</v>
      </c>
      <c r="M95" s="12" t="s">
        <v>1645</v>
      </c>
      <c r="N95" t="s">
        <v>1581</v>
      </c>
      <c r="O95" t="str">
        <f t="shared" si="8"/>
        <v>2.P</v>
      </c>
    </row>
    <row r="96" spans="3:15" x14ac:dyDescent="0.25">
      <c r="C96" s="9">
        <v>111</v>
      </c>
      <c r="D96" s="16">
        <v>1625</v>
      </c>
      <c r="E96" s="10" t="str">
        <f t="shared" si="3"/>
        <v>1625</v>
      </c>
      <c r="F96" s="10" t="str">
        <f t="shared" si="4"/>
        <v>162</v>
      </c>
      <c r="G96" s="10">
        <f t="shared" si="5"/>
        <v>0</v>
      </c>
      <c r="H96" s="10" t="b">
        <f>IF(ISERROR(VLOOKUP(E96,cuentas_pyme!C:C,1,FALSE)),FALSE,TRUE)</f>
        <v>1</v>
      </c>
      <c r="I96" s="10" t="str">
        <f>VLOOKUP(D96,cuentas_balance!C:I,7,FALSE)</f>
        <v>2.P.1.2.2</v>
      </c>
      <c r="J96" s="11" t="str">
        <f t="shared" si="6"/>
        <v>2.P.1.2.2.1625</v>
      </c>
      <c r="K96" s="10" t="str">
        <f t="shared" si="7"/>
        <v>2.P.1.2.2</v>
      </c>
      <c r="L96" s="10" t="str">
        <f t="shared" si="9"/>
        <v>2.P.1.2.2</v>
      </c>
      <c r="M96" s="12" t="s">
        <v>1646</v>
      </c>
      <c r="N96" t="s">
        <v>1581</v>
      </c>
      <c r="O96" t="str">
        <f t="shared" si="8"/>
        <v>2.P</v>
      </c>
    </row>
    <row r="97" spans="3:15" x14ac:dyDescent="0.25">
      <c r="C97" s="9">
        <v>113</v>
      </c>
      <c r="D97" s="16">
        <v>1633</v>
      </c>
      <c r="E97" s="10" t="str">
        <f t="shared" ref="E97:E149" si="10">TEXT(D97,0)</f>
        <v>1633</v>
      </c>
      <c r="F97" s="10" t="str">
        <f t="shared" ref="F97:F149" si="11">LEFT(D97,LEN(D97)-1)</f>
        <v>163</v>
      </c>
      <c r="G97" s="10">
        <f t="shared" si="5"/>
        <v>0</v>
      </c>
      <c r="H97" s="10" t="b">
        <f>IF(ISERROR(VLOOKUP(E97,cuentas_pyme!C:C,1,FALSE)),FALSE,TRUE)</f>
        <v>1</v>
      </c>
      <c r="I97" s="10" t="str">
        <f>VLOOKUP(D97,cuentas_balance!C:I,7,FALSE)</f>
        <v>2.P.1.3</v>
      </c>
      <c r="J97" s="11" t="str">
        <f t="shared" ref="J97:J149" si="12">I97&amp;"."&amp;E97</f>
        <v>2.P.1.3.1633</v>
      </c>
      <c r="K97" s="10" t="str">
        <f t="shared" si="7"/>
        <v>2.P.1.3</v>
      </c>
      <c r="L97" s="10" t="str">
        <f t="shared" si="9"/>
        <v>2.P.1.3</v>
      </c>
      <c r="M97" s="12" t="s">
        <v>1647</v>
      </c>
      <c r="N97" t="s">
        <v>1581</v>
      </c>
      <c r="O97" t="str">
        <f t="shared" si="8"/>
        <v>2.P</v>
      </c>
    </row>
    <row r="98" spans="3:15" x14ac:dyDescent="0.25">
      <c r="C98" s="9">
        <v>114</v>
      </c>
      <c r="D98" s="16">
        <v>1634</v>
      </c>
      <c r="E98" s="10" t="str">
        <f t="shared" si="10"/>
        <v>1634</v>
      </c>
      <c r="F98" s="10" t="str">
        <f t="shared" si="11"/>
        <v>163</v>
      </c>
      <c r="G98" s="10">
        <f t="shared" si="5"/>
        <v>0</v>
      </c>
      <c r="H98" s="10" t="b">
        <f>IF(ISERROR(VLOOKUP(E98,cuentas_pyme!C:C,1,FALSE)),FALSE,TRUE)</f>
        <v>1</v>
      </c>
      <c r="I98" s="10" t="str">
        <f>VLOOKUP(D98,cuentas_balance!C:I,7,FALSE)</f>
        <v>2.P.1.3</v>
      </c>
      <c r="J98" s="11" t="str">
        <f t="shared" si="12"/>
        <v>2.P.1.3.1634</v>
      </c>
      <c r="K98" s="10" t="str">
        <f t="shared" ref="K98:K150" si="13">I98</f>
        <v>2.P.1.3</v>
      </c>
      <c r="L98" s="10" t="str">
        <f t="shared" si="9"/>
        <v>2.P.1.3</v>
      </c>
      <c r="M98" s="12" t="s">
        <v>1648</v>
      </c>
      <c r="N98" t="s">
        <v>1581</v>
      </c>
      <c r="O98" t="str">
        <f t="shared" si="8"/>
        <v>2.P</v>
      </c>
    </row>
    <row r="99" spans="3:15" x14ac:dyDescent="0.25">
      <c r="C99" s="9">
        <v>115</v>
      </c>
      <c r="D99" s="16">
        <v>1635</v>
      </c>
      <c r="E99" s="10" t="str">
        <f t="shared" si="10"/>
        <v>1635</v>
      </c>
      <c r="F99" s="10" t="str">
        <f t="shared" si="11"/>
        <v>163</v>
      </c>
      <c r="G99" s="10">
        <f t="shared" si="5"/>
        <v>0</v>
      </c>
      <c r="H99" s="10" t="b">
        <f>IF(ISERROR(VLOOKUP(E99,cuentas_pyme!C:C,1,FALSE)),FALSE,TRUE)</f>
        <v>1</v>
      </c>
      <c r="I99" s="10" t="str">
        <f>VLOOKUP(D99,cuentas_balance!C:I,7,FALSE)</f>
        <v>2.P.1.2.3</v>
      </c>
      <c r="J99" s="11" t="str">
        <f t="shared" si="12"/>
        <v>2.P.1.2.3.1635</v>
      </c>
      <c r="K99" s="10" t="str">
        <f t="shared" si="13"/>
        <v>2.P.1.2.3</v>
      </c>
      <c r="L99" s="10" t="str">
        <f t="shared" si="9"/>
        <v>2.P.1.2.3</v>
      </c>
      <c r="M99" s="12" t="s">
        <v>1649</v>
      </c>
      <c r="N99" t="s">
        <v>1581</v>
      </c>
      <c r="O99" t="str">
        <f t="shared" si="8"/>
        <v>2.P</v>
      </c>
    </row>
    <row r="100" spans="3:15" x14ac:dyDescent="0.25">
      <c r="C100" s="9">
        <v>117</v>
      </c>
      <c r="D100" s="16">
        <v>170</v>
      </c>
      <c r="E100" s="10" t="str">
        <f t="shared" si="10"/>
        <v>170</v>
      </c>
      <c r="F100" s="10" t="str">
        <f t="shared" si="11"/>
        <v>17</v>
      </c>
      <c r="G100" s="10">
        <f t="shared" si="5"/>
        <v>0</v>
      </c>
      <c r="H100" s="10" t="b">
        <f>IF(ISERROR(VLOOKUP(E100,cuentas_pyme!C:C,1,FALSE)),FALSE,TRUE)</f>
        <v>1</v>
      </c>
      <c r="I100" s="10" t="str">
        <f>VLOOKUP(D100,cuentas_balance!C:I,7,FALSE)</f>
        <v>2.P.1.2.1</v>
      </c>
      <c r="J100" s="11" t="str">
        <f t="shared" si="12"/>
        <v>2.P.1.2.1.170</v>
      </c>
      <c r="K100" s="10" t="str">
        <f t="shared" si="13"/>
        <v>2.P.1.2.1</v>
      </c>
      <c r="L100" s="10" t="str">
        <f t="shared" si="9"/>
        <v>2.P.1.2.1</v>
      </c>
      <c r="M100" s="12" t="s">
        <v>1650</v>
      </c>
      <c r="N100" t="s">
        <v>1581</v>
      </c>
      <c r="O100" t="str">
        <f t="shared" si="8"/>
        <v>2.P</v>
      </c>
    </row>
    <row r="101" spans="3:15" x14ac:dyDescent="0.25">
      <c r="C101" s="9">
        <v>118</v>
      </c>
      <c r="D101" s="16">
        <v>171</v>
      </c>
      <c r="E101" s="10" t="str">
        <f t="shared" si="10"/>
        <v>171</v>
      </c>
      <c r="F101" s="10" t="str">
        <f t="shared" si="11"/>
        <v>17</v>
      </c>
      <c r="G101" s="10">
        <f t="shared" si="5"/>
        <v>0</v>
      </c>
      <c r="H101" s="10" t="b">
        <f>IF(ISERROR(VLOOKUP(E101,cuentas_pyme!C:C,1,FALSE)),FALSE,TRUE)</f>
        <v>1</v>
      </c>
      <c r="I101" s="10" t="str">
        <f>VLOOKUP(D101,cuentas_balance!C:I,7,FALSE)</f>
        <v>2.P.1.2.3</v>
      </c>
      <c r="J101" s="11" t="str">
        <f t="shared" si="12"/>
        <v>2.P.1.2.3.171</v>
      </c>
      <c r="K101" s="10" t="str">
        <f t="shared" si="13"/>
        <v>2.P.1.2.3</v>
      </c>
      <c r="L101" s="10" t="str">
        <f t="shared" si="9"/>
        <v>2.P.1.2.3</v>
      </c>
      <c r="M101" s="12" t="s">
        <v>1651</v>
      </c>
      <c r="N101" t="s">
        <v>1581</v>
      </c>
      <c r="O101" t="str">
        <f t="shared" si="8"/>
        <v>2.P</v>
      </c>
    </row>
    <row r="102" spans="3:15" x14ac:dyDescent="0.25">
      <c r="C102" s="9">
        <v>119</v>
      </c>
      <c r="D102" s="16">
        <v>172</v>
      </c>
      <c r="E102" s="10" t="str">
        <f t="shared" si="10"/>
        <v>172</v>
      </c>
      <c r="F102" s="10" t="str">
        <f t="shared" si="11"/>
        <v>17</v>
      </c>
      <c r="G102" s="10">
        <f t="shared" si="5"/>
        <v>0</v>
      </c>
      <c r="H102" s="10" t="b">
        <f>IF(ISERROR(VLOOKUP(E102,cuentas_pyme!C:C,1,FALSE)),FALSE,TRUE)</f>
        <v>1</v>
      </c>
      <c r="I102" s="10" t="str">
        <f>VLOOKUP(D102,cuentas_balance!C:I,7,FALSE)</f>
        <v>2.P.1.2.3</v>
      </c>
      <c r="J102" s="11" t="str">
        <f t="shared" si="12"/>
        <v>2.P.1.2.3.172</v>
      </c>
      <c r="K102" s="10" t="str">
        <f t="shared" si="13"/>
        <v>2.P.1.2.3</v>
      </c>
      <c r="L102" s="10" t="str">
        <f t="shared" si="9"/>
        <v>2.P.1.2.3</v>
      </c>
      <c r="M102" s="12" t="s">
        <v>1652</v>
      </c>
      <c r="N102" t="s">
        <v>1581</v>
      </c>
      <c r="O102" t="str">
        <f t="shared" si="8"/>
        <v>2.P</v>
      </c>
    </row>
    <row r="103" spans="3:15" x14ac:dyDescent="0.25">
      <c r="C103" s="9">
        <v>120</v>
      </c>
      <c r="D103" s="16">
        <v>173</v>
      </c>
      <c r="E103" s="10" t="str">
        <f t="shared" si="10"/>
        <v>173</v>
      </c>
      <c r="F103" s="10" t="str">
        <f t="shared" si="11"/>
        <v>17</v>
      </c>
      <c r="G103" s="10">
        <f t="shared" si="5"/>
        <v>0</v>
      </c>
      <c r="H103" s="10" t="b">
        <f>IF(ISERROR(VLOOKUP(E103,cuentas_pyme!C:C,1,FALSE)),FALSE,TRUE)</f>
        <v>1</v>
      </c>
      <c r="I103" s="10" t="str">
        <f>VLOOKUP(D103,cuentas_balance!C:I,7,FALSE)</f>
        <v>2.P.1.2.3</v>
      </c>
      <c r="J103" s="11" t="str">
        <f t="shared" si="12"/>
        <v>2.P.1.2.3.173</v>
      </c>
      <c r="K103" s="10" t="str">
        <f t="shared" si="13"/>
        <v>2.P.1.2.3</v>
      </c>
      <c r="L103" s="10" t="str">
        <f t="shared" si="9"/>
        <v>2.P.1.2.3</v>
      </c>
      <c r="M103" s="12" t="s">
        <v>1653</v>
      </c>
      <c r="N103" t="s">
        <v>1581</v>
      </c>
      <c r="O103" t="str">
        <f t="shared" si="8"/>
        <v>2.P</v>
      </c>
    </row>
    <row r="104" spans="3:15" x14ac:dyDescent="0.25">
      <c r="C104" s="9">
        <v>121</v>
      </c>
      <c r="D104" s="16">
        <v>174</v>
      </c>
      <c r="E104" s="10" t="str">
        <f t="shared" si="10"/>
        <v>174</v>
      </c>
      <c r="F104" s="10" t="str">
        <f t="shared" si="11"/>
        <v>17</v>
      </c>
      <c r="G104" s="10">
        <f t="shared" si="5"/>
        <v>0</v>
      </c>
      <c r="H104" s="10" t="b">
        <f>IF(ISERROR(VLOOKUP(E104,cuentas_pyme!C:C,1,FALSE)),FALSE,TRUE)</f>
        <v>1</v>
      </c>
      <c r="I104" s="10" t="str">
        <f>VLOOKUP(D104,cuentas_balance!C:I,7,FALSE)</f>
        <v>2.P.1.2.2</v>
      </c>
      <c r="J104" s="11" t="str">
        <f t="shared" si="12"/>
        <v>2.P.1.2.2.174</v>
      </c>
      <c r="K104" s="10" t="str">
        <f t="shared" si="13"/>
        <v>2.P.1.2.2</v>
      </c>
      <c r="L104" s="10" t="str">
        <f t="shared" si="9"/>
        <v>2.P.1.2.2</v>
      </c>
      <c r="M104" s="12" t="s">
        <v>1654</v>
      </c>
      <c r="N104" t="s">
        <v>1581</v>
      </c>
      <c r="O104" t="str">
        <f t="shared" si="8"/>
        <v>2.P</v>
      </c>
    </row>
    <row r="105" spans="3:15" x14ac:dyDescent="0.25">
      <c r="C105" s="9">
        <v>122</v>
      </c>
      <c r="D105" s="16">
        <v>175</v>
      </c>
      <c r="E105" s="10" t="str">
        <f t="shared" si="10"/>
        <v>175</v>
      </c>
      <c r="F105" s="10" t="str">
        <f t="shared" si="11"/>
        <v>17</v>
      </c>
      <c r="G105" s="10">
        <f t="shared" si="5"/>
        <v>0</v>
      </c>
      <c r="H105" s="10" t="b">
        <f>IF(ISERROR(VLOOKUP(E105,cuentas_pyme!C:C,1,FALSE)),FALSE,TRUE)</f>
        <v>1</v>
      </c>
      <c r="I105" s="10" t="str">
        <f>VLOOKUP(D105,cuentas_balance!C:I,7,FALSE)</f>
        <v>2.P.1.2.3</v>
      </c>
      <c r="J105" s="11" t="str">
        <f t="shared" si="12"/>
        <v>2.P.1.2.3.175</v>
      </c>
      <c r="K105" s="10" t="str">
        <f t="shared" si="13"/>
        <v>2.P.1.2.3</v>
      </c>
      <c r="L105" s="10" t="str">
        <f t="shared" si="9"/>
        <v>2.P.1.2.3</v>
      </c>
      <c r="M105" s="12" t="s">
        <v>1655</v>
      </c>
      <c r="N105" t="s">
        <v>1581</v>
      </c>
      <c r="O105" t="str">
        <f t="shared" si="8"/>
        <v>2.P</v>
      </c>
    </row>
    <row r="106" spans="3:15" x14ac:dyDescent="0.25">
      <c r="C106" s="9">
        <v>123</v>
      </c>
      <c r="D106" s="16">
        <v>176</v>
      </c>
      <c r="E106" s="10" t="str">
        <f t="shared" si="10"/>
        <v>176</v>
      </c>
      <c r="F106" s="10" t="str">
        <f t="shared" si="11"/>
        <v>17</v>
      </c>
      <c r="G106" s="10">
        <f t="shared" si="5"/>
        <v>0</v>
      </c>
      <c r="H106" s="10" t="b">
        <f>IF(ISERROR(VLOOKUP(E106,cuentas_pyme!C:C,1,FALSE)),FALSE,TRUE)</f>
        <v>1</v>
      </c>
      <c r="I106" s="10" t="str">
        <f>VLOOKUP(D106,cuentas_balance!C:I,7,FALSE)</f>
        <v>2.P.1.2.3</v>
      </c>
      <c r="J106" s="11" t="str">
        <f t="shared" si="12"/>
        <v>2.P.1.2.3.176</v>
      </c>
      <c r="K106" s="10" t="str">
        <f t="shared" si="13"/>
        <v>2.P.1.2.3</v>
      </c>
      <c r="L106" s="10" t="str">
        <f t="shared" si="9"/>
        <v>2.P.1.2.3</v>
      </c>
      <c r="M106" s="12" t="s">
        <v>1656</v>
      </c>
      <c r="N106" t="s">
        <v>1581</v>
      </c>
      <c r="O106" t="str">
        <f t="shared" si="8"/>
        <v>2.P</v>
      </c>
    </row>
    <row r="107" spans="3:15" x14ac:dyDescent="0.25">
      <c r="C107" s="9">
        <v>126</v>
      </c>
      <c r="D107" s="16">
        <v>177</v>
      </c>
      <c r="E107" s="10" t="str">
        <f t="shared" si="10"/>
        <v>177</v>
      </c>
      <c r="F107" s="10" t="str">
        <f t="shared" si="11"/>
        <v>17</v>
      </c>
      <c r="G107" s="10">
        <f t="shared" si="5"/>
        <v>0</v>
      </c>
      <c r="H107" s="10" t="b">
        <f>IF(ISERROR(VLOOKUP(E107,cuentas_pyme!C:C,1,FALSE)),FALSE,TRUE)</f>
        <v>1</v>
      </c>
      <c r="I107" s="10" t="str">
        <f>VLOOKUP(D107,cuentas_balance!C:I,7,FALSE)</f>
        <v>2.P.1.2.3</v>
      </c>
      <c r="J107" s="11" t="str">
        <f t="shared" si="12"/>
        <v>2.P.1.2.3.177</v>
      </c>
      <c r="K107" s="10" t="str">
        <f t="shared" si="13"/>
        <v>2.P.1.2.3</v>
      </c>
      <c r="L107" s="10" t="str">
        <f t="shared" si="9"/>
        <v>2.P.1.2.3</v>
      </c>
      <c r="M107" s="12" t="s">
        <v>1657</v>
      </c>
      <c r="N107" t="s">
        <v>1581</v>
      </c>
      <c r="O107" t="str">
        <f t="shared" si="8"/>
        <v>2.P</v>
      </c>
    </row>
    <row r="108" spans="3:15" x14ac:dyDescent="0.25">
      <c r="C108" s="9">
        <v>128</v>
      </c>
      <c r="D108" s="16">
        <v>179</v>
      </c>
      <c r="E108" s="10" t="str">
        <f t="shared" si="10"/>
        <v>179</v>
      </c>
      <c r="F108" s="10" t="str">
        <f t="shared" si="11"/>
        <v>17</v>
      </c>
      <c r="G108" s="10">
        <f t="shared" si="5"/>
        <v>0</v>
      </c>
      <c r="H108" s="10" t="b">
        <f>IF(ISERROR(VLOOKUP(E108,cuentas_pyme!C:C,1,FALSE)),FALSE,TRUE)</f>
        <v>1</v>
      </c>
      <c r="I108" s="10" t="str">
        <f>VLOOKUP(D108,cuentas_balance!C:I,7,FALSE)</f>
        <v>2.P.1.2.3</v>
      </c>
      <c r="J108" s="11" t="str">
        <f t="shared" si="12"/>
        <v>2.P.1.2.3.179</v>
      </c>
      <c r="K108" s="10" t="str">
        <f t="shared" si="13"/>
        <v>2.P.1.2.3</v>
      </c>
      <c r="L108" s="10" t="str">
        <f t="shared" si="9"/>
        <v>2.P.1.2.3</v>
      </c>
      <c r="M108" s="12" t="s">
        <v>1658</v>
      </c>
      <c r="N108" t="s">
        <v>1581</v>
      </c>
      <c r="O108" t="str">
        <f t="shared" si="8"/>
        <v>2.P</v>
      </c>
    </row>
    <row r="109" spans="3:15" x14ac:dyDescent="0.25">
      <c r="C109" s="9">
        <v>130</v>
      </c>
      <c r="D109" s="16">
        <v>180</v>
      </c>
      <c r="E109" s="10" t="str">
        <f t="shared" si="10"/>
        <v>180</v>
      </c>
      <c r="F109" s="10" t="str">
        <f t="shared" si="11"/>
        <v>18</v>
      </c>
      <c r="G109" s="10">
        <f t="shared" si="5"/>
        <v>0</v>
      </c>
      <c r="H109" s="10" t="b">
        <f>IF(ISERROR(VLOOKUP(E109,cuentas_pyme!C:C,1,FALSE)),FALSE,TRUE)</f>
        <v>1</v>
      </c>
      <c r="I109" s="10" t="str">
        <f>VLOOKUP(D109,cuentas_balance!C:I,7,FALSE)</f>
        <v>2.P.1.2.3</v>
      </c>
      <c r="J109" s="11" t="str">
        <f t="shared" si="12"/>
        <v>2.P.1.2.3.180</v>
      </c>
      <c r="K109" s="10" t="str">
        <f t="shared" si="13"/>
        <v>2.P.1.2.3</v>
      </c>
      <c r="L109" s="10" t="str">
        <f t="shared" si="9"/>
        <v>2.P.1.2.3</v>
      </c>
      <c r="M109" s="12" t="s">
        <v>1659</v>
      </c>
      <c r="N109" t="s">
        <v>1581</v>
      </c>
      <c r="O109" t="str">
        <f t="shared" si="8"/>
        <v>2.P</v>
      </c>
    </row>
    <row r="110" spans="3:15" x14ac:dyDescent="0.25">
      <c r="C110" s="9">
        <v>131</v>
      </c>
      <c r="D110" s="16">
        <v>181</v>
      </c>
      <c r="E110" s="10" t="str">
        <f t="shared" si="10"/>
        <v>181</v>
      </c>
      <c r="F110" s="10" t="str">
        <f t="shared" si="11"/>
        <v>18</v>
      </c>
      <c r="G110" s="10">
        <f t="shared" si="5"/>
        <v>0</v>
      </c>
      <c r="H110" s="10" t="b">
        <f>IF(ISERROR(VLOOKUP(E110,cuentas_pyme!C:C,1,FALSE)),FALSE,TRUE)</f>
        <v>1</v>
      </c>
      <c r="I110" s="10" t="str">
        <f>VLOOKUP(D110,cuentas_balance!C:I,7,FALSE)</f>
        <v>2.P.1.5</v>
      </c>
      <c r="J110" s="11" t="str">
        <f t="shared" si="12"/>
        <v>2.P.1.5.181</v>
      </c>
      <c r="K110" s="10" t="str">
        <f t="shared" si="13"/>
        <v>2.P.1.5</v>
      </c>
      <c r="L110" s="10" t="str">
        <f t="shared" si="9"/>
        <v>2.P.1.5</v>
      </c>
      <c r="M110" s="12" t="s">
        <v>1660</v>
      </c>
      <c r="N110" t="s">
        <v>1581</v>
      </c>
      <c r="O110" t="str">
        <f t="shared" si="8"/>
        <v>2.P</v>
      </c>
    </row>
    <row r="111" spans="3:15" x14ac:dyDescent="0.25">
      <c r="C111" s="9">
        <v>132</v>
      </c>
      <c r="D111" s="16">
        <v>185</v>
      </c>
      <c r="E111" s="10" t="str">
        <f t="shared" si="10"/>
        <v>185</v>
      </c>
      <c r="F111" s="10" t="str">
        <f t="shared" si="11"/>
        <v>18</v>
      </c>
      <c r="G111" s="10">
        <f t="shared" si="5"/>
        <v>0</v>
      </c>
      <c r="H111" s="10" t="b">
        <f>IF(ISERROR(VLOOKUP(E111,cuentas_pyme!C:C,1,FALSE)),FALSE,TRUE)</f>
        <v>1</v>
      </c>
      <c r="I111" s="10" t="str">
        <f>VLOOKUP(D111,cuentas_balance!C:I,7,FALSE)</f>
        <v>2.P.1.2.3</v>
      </c>
      <c r="J111" s="11" t="str">
        <f t="shared" si="12"/>
        <v>2.P.1.2.3.185</v>
      </c>
      <c r="K111" s="10" t="str">
        <f t="shared" si="13"/>
        <v>2.P.1.2.3</v>
      </c>
      <c r="L111" s="10" t="str">
        <f t="shared" si="9"/>
        <v>2.P.1.2.3</v>
      </c>
      <c r="M111" s="12" t="s">
        <v>1661</v>
      </c>
      <c r="N111" t="s">
        <v>1581</v>
      </c>
      <c r="O111" t="str">
        <f t="shared" si="8"/>
        <v>2.P</v>
      </c>
    </row>
    <row r="112" spans="3:15" x14ac:dyDescent="0.25">
      <c r="C112" s="9">
        <v>135</v>
      </c>
      <c r="D112" s="16">
        <v>190</v>
      </c>
      <c r="E112" s="10" t="str">
        <f t="shared" si="10"/>
        <v>190</v>
      </c>
      <c r="F112" s="10" t="str">
        <f t="shared" si="11"/>
        <v>19</v>
      </c>
      <c r="G112" s="10">
        <f t="shared" si="5"/>
        <v>0</v>
      </c>
      <c r="H112" s="10" t="b">
        <f>IF(ISERROR(VLOOKUP(E112,cuentas_pyme!C:C,1,FALSE)),FALSE,TRUE)</f>
        <v>1</v>
      </c>
      <c r="I112" s="10" t="str">
        <f>VLOOKUP(D112,cuentas_balance!C:I,7,FALSE)</f>
        <v>2.P.2.2.3</v>
      </c>
      <c r="J112" s="11" t="str">
        <f t="shared" si="12"/>
        <v>2.P.2.2.3.190</v>
      </c>
      <c r="K112" s="10" t="str">
        <f t="shared" si="13"/>
        <v>2.P.2.2.3</v>
      </c>
      <c r="L112" s="10" t="str">
        <f t="shared" si="9"/>
        <v>2.P.2.2.3</v>
      </c>
      <c r="M112" s="12" t="s">
        <v>1662</v>
      </c>
      <c r="N112" t="s">
        <v>1581</v>
      </c>
      <c r="O112" t="str">
        <f t="shared" si="8"/>
        <v>2.P</v>
      </c>
    </row>
    <row r="113" spans="3:15" x14ac:dyDescent="0.25">
      <c r="C113" s="9">
        <v>136</v>
      </c>
      <c r="D113" s="16">
        <v>192</v>
      </c>
      <c r="E113" s="10" t="str">
        <f t="shared" si="10"/>
        <v>192</v>
      </c>
      <c r="F113" s="10" t="str">
        <f t="shared" si="11"/>
        <v>19</v>
      </c>
      <c r="G113" s="10">
        <f t="shared" si="5"/>
        <v>0</v>
      </c>
      <c r="H113" s="10" t="b">
        <f>IF(ISERROR(VLOOKUP(E113,cuentas_pyme!C:C,1,FALSE)),FALSE,TRUE)</f>
        <v>1</v>
      </c>
      <c r="I113" s="10" t="str">
        <f>VLOOKUP(D113,cuentas_balance!C:I,7,FALSE)</f>
        <v>2.P.2.2.3</v>
      </c>
      <c r="J113" s="11" t="str">
        <f t="shared" si="12"/>
        <v>2.P.2.2.3.192</v>
      </c>
      <c r="K113" s="10" t="str">
        <f t="shared" si="13"/>
        <v>2.P.2.2.3</v>
      </c>
      <c r="L113" s="10" t="str">
        <f t="shared" si="9"/>
        <v>2.P.2.2.3</v>
      </c>
      <c r="M113" s="12" t="s">
        <v>1663</v>
      </c>
      <c r="N113" t="s">
        <v>1581</v>
      </c>
      <c r="O113" t="str">
        <f t="shared" si="8"/>
        <v>2.P</v>
      </c>
    </row>
    <row r="114" spans="3:15" x14ac:dyDescent="0.25">
      <c r="C114" s="9">
        <v>137</v>
      </c>
      <c r="D114" s="16">
        <v>194</v>
      </c>
      <c r="E114" s="10" t="str">
        <f t="shared" si="10"/>
        <v>194</v>
      </c>
      <c r="F114" s="10" t="str">
        <f t="shared" si="11"/>
        <v>19</v>
      </c>
      <c r="G114" s="10">
        <f t="shared" si="5"/>
        <v>0</v>
      </c>
      <c r="H114" s="10" t="b">
        <f>IF(ISERROR(VLOOKUP(E114,cuentas_pyme!C:C,1,FALSE)),FALSE,TRUE)</f>
        <v>1</v>
      </c>
      <c r="I114" s="10" t="str">
        <f>VLOOKUP(D114,cuentas_balance!C:I,7,FALSE)</f>
        <v>2.P.2.2.3</v>
      </c>
      <c r="J114" s="11" t="str">
        <f t="shared" si="12"/>
        <v>2.P.2.2.3.194</v>
      </c>
      <c r="K114" s="10" t="str">
        <f t="shared" si="13"/>
        <v>2.P.2.2.3</v>
      </c>
      <c r="L114" s="10" t="str">
        <f t="shared" si="9"/>
        <v>2.P.2.2.3</v>
      </c>
      <c r="M114" s="12" t="s">
        <v>1664</v>
      </c>
      <c r="N114" t="s">
        <v>1581</v>
      </c>
      <c r="O114" t="str">
        <f t="shared" si="8"/>
        <v>2.P</v>
      </c>
    </row>
    <row r="115" spans="3:15" x14ac:dyDescent="0.25">
      <c r="C115" s="9">
        <v>142</v>
      </c>
      <c r="D115" s="16">
        <v>20</v>
      </c>
      <c r="E115" s="10" t="str">
        <f t="shared" si="10"/>
        <v>20</v>
      </c>
      <c r="F115" s="10" t="str">
        <f t="shared" si="11"/>
        <v>2</v>
      </c>
      <c r="G115" s="10">
        <f t="shared" si="5"/>
        <v>1</v>
      </c>
      <c r="H115" s="10" t="b">
        <f>IF(ISERROR(VLOOKUP(E115,cuentas_pyme!C:C,1,FALSE)),FALSE,TRUE)</f>
        <v>1</v>
      </c>
      <c r="I115" s="10" t="str">
        <f>VLOOKUP(D115,cuentas_balance!C:I,7,FALSE)</f>
        <v>1.A.1.1</v>
      </c>
      <c r="J115" s="11" t="str">
        <f t="shared" si="12"/>
        <v>1.A.1.1.20</v>
      </c>
      <c r="K115" s="10" t="str">
        <f t="shared" si="13"/>
        <v>1.A.1.1</v>
      </c>
      <c r="L115" s="10" t="str">
        <f t="shared" si="9"/>
        <v>1.A.1.1</v>
      </c>
      <c r="M115" s="12" t="s">
        <v>3070</v>
      </c>
      <c r="N115" t="s">
        <v>1578</v>
      </c>
      <c r="O115" t="str">
        <f t="shared" si="8"/>
        <v>1.A</v>
      </c>
    </row>
    <row r="116" spans="3:15" x14ac:dyDescent="0.25">
      <c r="C116" s="9">
        <v>143</v>
      </c>
      <c r="D116" s="16">
        <v>200</v>
      </c>
      <c r="E116" s="10" t="str">
        <f t="shared" si="10"/>
        <v>200</v>
      </c>
      <c r="F116" s="10" t="str">
        <f t="shared" si="11"/>
        <v>20</v>
      </c>
      <c r="G116" s="10">
        <f t="shared" si="5"/>
        <v>0</v>
      </c>
      <c r="H116" s="10" t="b">
        <f>IF(ISERROR(VLOOKUP(E116,cuentas_pyme!C:C,1,FALSE)),FALSE,TRUE)</f>
        <v>1</v>
      </c>
      <c r="I116" s="10" t="s">
        <v>2682</v>
      </c>
      <c r="J116" s="11" t="s">
        <v>2683</v>
      </c>
      <c r="K116" s="10" t="str">
        <f t="shared" si="13"/>
        <v>1.A.1.1.20</v>
      </c>
      <c r="L116" s="10" t="str">
        <f t="shared" si="9"/>
        <v>1.A.1.1.20</v>
      </c>
      <c r="M116" s="12" t="s">
        <v>1665</v>
      </c>
      <c r="N116" t="s">
        <v>1578</v>
      </c>
      <c r="O116" t="str">
        <f t="shared" si="8"/>
        <v>1.A</v>
      </c>
    </row>
    <row r="117" spans="3:15" x14ac:dyDescent="0.25">
      <c r="C117" s="9">
        <v>144</v>
      </c>
      <c r="D117" s="16">
        <v>201</v>
      </c>
      <c r="E117" s="10" t="str">
        <f t="shared" si="10"/>
        <v>201</v>
      </c>
      <c r="F117" s="10" t="str">
        <f t="shared" si="11"/>
        <v>20</v>
      </c>
      <c r="G117" s="10">
        <f t="shared" si="5"/>
        <v>0</v>
      </c>
      <c r="H117" s="10" t="b">
        <f>IF(ISERROR(VLOOKUP(E117,cuentas_pyme!C:C,1,FALSE)),FALSE,TRUE)</f>
        <v>1</v>
      </c>
      <c r="I117" s="10" t="s">
        <v>2682</v>
      </c>
      <c r="J117" s="11" t="s">
        <v>2684</v>
      </c>
      <c r="K117" s="10" t="str">
        <f t="shared" si="13"/>
        <v>1.A.1.1.20</v>
      </c>
      <c r="L117" s="10" t="str">
        <f t="shared" si="9"/>
        <v>1.A.1.1.20</v>
      </c>
      <c r="M117" s="12" t="s">
        <v>1666</v>
      </c>
      <c r="N117" t="s">
        <v>1578</v>
      </c>
      <c r="O117" t="str">
        <f t="shared" si="8"/>
        <v>1.A</v>
      </c>
    </row>
    <row r="118" spans="3:15" x14ac:dyDescent="0.25">
      <c r="C118" s="9">
        <v>145</v>
      </c>
      <c r="D118" s="16">
        <v>202</v>
      </c>
      <c r="E118" s="10" t="str">
        <f t="shared" si="10"/>
        <v>202</v>
      </c>
      <c r="F118" s="10" t="str">
        <f t="shared" si="11"/>
        <v>20</v>
      </c>
      <c r="G118" s="10">
        <f t="shared" si="5"/>
        <v>0</v>
      </c>
      <c r="H118" s="10" t="b">
        <f>IF(ISERROR(VLOOKUP(E118,cuentas_pyme!C:C,1,FALSE)),FALSE,TRUE)</f>
        <v>1</v>
      </c>
      <c r="I118" s="10" t="s">
        <v>2682</v>
      </c>
      <c r="J118" s="11" t="s">
        <v>2685</v>
      </c>
      <c r="K118" s="10" t="str">
        <f t="shared" si="13"/>
        <v>1.A.1.1.20</v>
      </c>
      <c r="L118" s="10" t="str">
        <f t="shared" si="9"/>
        <v>1.A.1.1.20</v>
      </c>
      <c r="M118" s="12" t="s">
        <v>1667</v>
      </c>
      <c r="N118" t="s">
        <v>1578</v>
      </c>
      <c r="O118" t="str">
        <f t="shared" si="8"/>
        <v>1.A</v>
      </c>
    </row>
    <row r="119" spans="3:15" x14ac:dyDescent="0.25">
      <c r="C119" s="9">
        <v>146</v>
      </c>
      <c r="D119" s="16">
        <v>203</v>
      </c>
      <c r="E119" s="10" t="str">
        <f t="shared" si="10"/>
        <v>203</v>
      </c>
      <c r="F119" s="10" t="str">
        <f t="shared" si="11"/>
        <v>20</v>
      </c>
      <c r="G119" s="10">
        <f t="shared" si="5"/>
        <v>0</v>
      </c>
      <c r="H119" s="10" t="b">
        <f>IF(ISERROR(VLOOKUP(E119,cuentas_pyme!C:C,1,FALSE)),FALSE,TRUE)</f>
        <v>1</v>
      </c>
      <c r="I119" s="10" t="s">
        <v>2682</v>
      </c>
      <c r="J119" s="11" t="s">
        <v>2686</v>
      </c>
      <c r="K119" s="10" t="str">
        <f t="shared" si="13"/>
        <v>1.A.1.1.20</v>
      </c>
      <c r="L119" s="10" t="str">
        <f t="shared" si="9"/>
        <v>1.A.1.1.20</v>
      </c>
      <c r="M119" s="12" t="s">
        <v>1668</v>
      </c>
      <c r="N119" t="s">
        <v>1578</v>
      </c>
      <c r="O119" t="str">
        <f t="shared" si="8"/>
        <v>1.A</v>
      </c>
    </row>
    <row r="120" spans="3:15" x14ac:dyDescent="0.25">
      <c r="C120" s="9">
        <v>148</v>
      </c>
      <c r="D120" s="16">
        <v>205</v>
      </c>
      <c r="E120" s="10" t="str">
        <f t="shared" si="10"/>
        <v>205</v>
      </c>
      <c r="F120" s="10" t="str">
        <f t="shared" si="11"/>
        <v>20</v>
      </c>
      <c r="G120" s="10">
        <f t="shared" si="5"/>
        <v>0</v>
      </c>
      <c r="H120" s="10" t="b">
        <f>IF(ISERROR(VLOOKUP(E120,cuentas_pyme!C:C,1,FALSE)),FALSE,TRUE)</f>
        <v>1</v>
      </c>
      <c r="I120" s="10" t="s">
        <v>2682</v>
      </c>
      <c r="J120" s="11" t="s">
        <v>2687</v>
      </c>
      <c r="K120" s="10" t="str">
        <f t="shared" si="13"/>
        <v>1.A.1.1.20</v>
      </c>
      <c r="L120" s="10" t="str">
        <f t="shared" si="9"/>
        <v>1.A.1.1.20</v>
      </c>
      <c r="M120" s="12" t="s">
        <v>1669</v>
      </c>
      <c r="N120" t="s">
        <v>1578</v>
      </c>
      <c r="O120" t="str">
        <f t="shared" si="8"/>
        <v>1.A</v>
      </c>
    </row>
    <row r="121" spans="3:15" x14ac:dyDescent="0.25">
      <c r="C121" s="9">
        <v>149</v>
      </c>
      <c r="D121" s="16">
        <v>206</v>
      </c>
      <c r="E121" s="10" t="str">
        <f t="shared" si="10"/>
        <v>206</v>
      </c>
      <c r="F121" s="10" t="str">
        <f t="shared" si="11"/>
        <v>20</v>
      </c>
      <c r="G121" s="10">
        <f t="shared" si="5"/>
        <v>0</v>
      </c>
      <c r="H121" s="10" t="b">
        <f>IF(ISERROR(VLOOKUP(E121,cuentas_pyme!C:C,1,FALSE)),FALSE,TRUE)</f>
        <v>1</v>
      </c>
      <c r="I121" s="10" t="s">
        <v>2682</v>
      </c>
      <c r="J121" s="11" t="s">
        <v>2688</v>
      </c>
      <c r="K121" s="10" t="str">
        <f t="shared" si="13"/>
        <v>1.A.1.1.20</v>
      </c>
      <c r="L121" s="10" t="str">
        <f t="shared" si="9"/>
        <v>1.A.1.1.20</v>
      </c>
      <c r="M121" s="12" t="s">
        <v>1670</v>
      </c>
      <c r="N121" t="s">
        <v>1578</v>
      </c>
      <c r="O121" t="str">
        <f t="shared" si="8"/>
        <v>1.A</v>
      </c>
    </row>
    <row r="122" spans="3:15" x14ac:dyDescent="0.25">
      <c r="C122" s="9">
        <v>150</v>
      </c>
      <c r="D122" s="16">
        <v>209</v>
      </c>
      <c r="E122" s="10" t="str">
        <f t="shared" si="10"/>
        <v>209</v>
      </c>
      <c r="F122" s="10" t="str">
        <f t="shared" si="11"/>
        <v>20</v>
      </c>
      <c r="G122" s="10">
        <f t="shared" ref="G122:G185" si="14">IF(IFERROR(VLOOKUP(E122,F:F,1,FALSE),0)&lt;&gt;0,1,0)</f>
        <v>0</v>
      </c>
      <c r="H122" s="10" t="b">
        <f>IF(ISERROR(VLOOKUP(E122,cuentas_pyme!C:C,1,FALSE)),FALSE,TRUE)</f>
        <v>1</v>
      </c>
      <c r="I122" s="10" t="s">
        <v>2682</v>
      </c>
      <c r="J122" s="11" t="s">
        <v>2689</v>
      </c>
      <c r="K122" s="10" t="str">
        <f t="shared" si="13"/>
        <v>1.A.1.1.20</v>
      </c>
      <c r="L122" s="10" t="str">
        <f t="shared" si="9"/>
        <v>1.A.1.1.20</v>
      </c>
      <c r="M122" s="12" t="s">
        <v>1671</v>
      </c>
      <c r="N122" t="s">
        <v>1578</v>
      </c>
      <c r="O122" t="str">
        <f t="shared" si="8"/>
        <v>1.A</v>
      </c>
    </row>
    <row r="123" spans="3:15" x14ac:dyDescent="0.25">
      <c r="C123" s="9">
        <v>151</v>
      </c>
      <c r="D123" s="16">
        <v>21</v>
      </c>
      <c r="E123" s="10" t="str">
        <f t="shared" si="10"/>
        <v>21</v>
      </c>
      <c r="F123" s="10" t="str">
        <f t="shared" si="11"/>
        <v>2</v>
      </c>
      <c r="G123" s="10">
        <f t="shared" si="14"/>
        <v>1</v>
      </c>
      <c r="H123" s="10" t="b">
        <f>IF(ISERROR(VLOOKUP(E123,cuentas_pyme!C:C,1,FALSE)),FALSE,TRUE)</f>
        <v>1</v>
      </c>
      <c r="I123" s="10" t="str">
        <f>VLOOKUP(D123,cuentas_balance!C:I,7,FALSE)</f>
        <v>1.A.1.2</v>
      </c>
      <c r="J123" s="11" t="str">
        <f t="shared" si="12"/>
        <v>1.A.1.2.21</v>
      </c>
      <c r="K123" s="10" t="str">
        <f t="shared" si="13"/>
        <v>1.A.1.2</v>
      </c>
      <c r="L123" s="10" t="str">
        <f t="shared" si="9"/>
        <v>1.A.1.2</v>
      </c>
      <c r="M123" s="12" t="s">
        <v>3071</v>
      </c>
      <c r="N123" t="s">
        <v>1578</v>
      </c>
      <c r="O123" t="str">
        <f t="shared" si="8"/>
        <v>1.A</v>
      </c>
    </row>
    <row r="124" spans="3:15" x14ac:dyDescent="0.25">
      <c r="C124" s="9">
        <v>152</v>
      </c>
      <c r="D124" s="16">
        <v>210</v>
      </c>
      <c r="E124" s="10" t="str">
        <f t="shared" si="10"/>
        <v>210</v>
      </c>
      <c r="F124" s="10" t="str">
        <f t="shared" si="11"/>
        <v>21</v>
      </c>
      <c r="G124" s="10">
        <f t="shared" si="14"/>
        <v>0</v>
      </c>
      <c r="H124" s="10" t="b">
        <f>IF(ISERROR(VLOOKUP(E124,cuentas_pyme!C:C,1,FALSE)),FALSE,TRUE)</f>
        <v>1</v>
      </c>
      <c r="I124" s="10" t="s">
        <v>2690</v>
      </c>
      <c r="J124" s="11" t="s">
        <v>2691</v>
      </c>
      <c r="K124" s="10" t="str">
        <f t="shared" si="13"/>
        <v>1.A.1.2.21</v>
      </c>
      <c r="L124" s="10" t="str">
        <f t="shared" si="9"/>
        <v>1.A.1.2.21</v>
      </c>
      <c r="M124" s="12" t="s">
        <v>1672</v>
      </c>
      <c r="N124" t="s">
        <v>1578</v>
      </c>
      <c r="O124" t="str">
        <f t="shared" si="8"/>
        <v>1.A</v>
      </c>
    </row>
    <row r="125" spans="3:15" x14ac:dyDescent="0.25">
      <c r="C125" s="9">
        <v>153</v>
      </c>
      <c r="D125" s="16">
        <v>211</v>
      </c>
      <c r="E125" s="10" t="str">
        <f t="shared" si="10"/>
        <v>211</v>
      </c>
      <c r="F125" s="10" t="str">
        <f t="shared" si="11"/>
        <v>21</v>
      </c>
      <c r="G125" s="10">
        <f t="shared" si="14"/>
        <v>0</v>
      </c>
      <c r="H125" s="10" t="b">
        <f>IF(ISERROR(VLOOKUP(E125,cuentas_pyme!C:C,1,FALSE)),FALSE,TRUE)</f>
        <v>1</v>
      </c>
      <c r="I125" s="10" t="s">
        <v>2690</v>
      </c>
      <c r="J125" s="11" t="s">
        <v>2692</v>
      </c>
      <c r="K125" s="10" t="str">
        <f t="shared" si="13"/>
        <v>1.A.1.2.21</v>
      </c>
      <c r="L125" s="10" t="str">
        <f t="shared" si="9"/>
        <v>1.A.1.2.21</v>
      </c>
      <c r="M125" s="12" t="s">
        <v>1673</v>
      </c>
      <c r="N125" t="s">
        <v>1578</v>
      </c>
      <c r="O125" t="str">
        <f t="shared" si="8"/>
        <v>1.A</v>
      </c>
    </row>
    <row r="126" spans="3:15" x14ac:dyDescent="0.25">
      <c r="C126" s="9">
        <v>154</v>
      </c>
      <c r="D126" s="16">
        <v>212</v>
      </c>
      <c r="E126" s="10" t="str">
        <f t="shared" si="10"/>
        <v>212</v>
      </c>
      <c r="F126" s="10" t="str">
        <f t="shared" si="11"/>
        <v>21</v>
      </c>
      <c r="G126" s="10">
        <f t="shared" si="14"/>
        <v>0</v>
      </c>
      <c r="H126" s="10" t="b">
        <f>IF(ISERROR(VLOOKUP(E126,cuentas_pyme!C:C,1,FALSE)),FALSE,TRUE)</f>
        <v>1</v>
      </c>
      <c r="I126" s="10" t="s">
        <v>2690</v>
      </c>
      <c r="J126" s="11" t="s">
        <v>2693</v>
      </c>
      <c r="K126" s="10" t="str">
        <f t="shared" si="13"/>
        <v>1.A.1.2.21</v>
      </c>
      <c r="L126" s="10" t="str">
        <f t="shared" si="9"/>
        <v>1.A.1.2.21</v>
      </c>
      <c r="M126" s="12" t="s">
        <v>1674</v>
      </c>
      <c r="N126" t="s">
        <v>1578</v>
      </c>
      <c r="O126" t="str">
        <f t="shared" si="8"/>
        <v>1.A</v>
      </c>
    </row>
    <row r="127" spans="3:15" x14ac:dyDescent="0.25">
      <c r="C127" s="9">
        <v>155</v>
      </c>
      <c r="D127" s="16">
        <v>213</v>
      </c>
      <c r="E127" s="10" t="str">
        <f t="shared" si="10"/>
        <v>213</v>
      </c>
      <c r="F127" s="10" t="str">
        <f t="shared" si="11"/>
        <v>21</v>
      </c>
      <c r="G127" s="10">
        <f t="shared" si="14"/>
        <v>0</v>
      </c>
      <c r="H127" s="10" t="b">
        <f>IF(ISERROR(VLOOKUP(E127,cuentas_pyme!C:C,1,FALSE)),FALSE,TRUE)</f>
        <v>1</v>
      </c>
      <c r="I127" s="10" t="s">
        <v>2690</v>
      </c>
      <c r="J127" s="11" t="s">
        <v>2694</v>
      </c>
      <c r="K127" s="10" t="str">
        <f t="shared" si="13"/>
        <v>1.A.1.2.21</v>
      </c>
      <c r="L127" s="10" t="str">
        <f t="shared" si="9"/>
        <v>1.A.1.2.21</v>
      </c>
      <c r="M127" s="12" t="s">
        <v>1675</v>
      </c>
      <c r="N127" t="s">
        <v>1578</v>
      </c>
      <c r="O127" t="str">
        <f t="shared" si="8"/>
        <v>1.A</v>
      </c>
    </row>
    <row r="128" spans="3:15" x14ac:dyDescent="0.25">
      <c r="C128" s="9">
        <v>156</v>
      </c>
      <c r="D128" s="16">
        <v>214</v>
      </c>
      <c r="E128" s="10" t="str">
        <f t="shared" si="10"/>
        <v>214</v>
      </c>
      <c r="F128" s="10" t="str">
        <f t="shared" si="11"/>
        <v>21</v>
      </c>
      <c r="G128" s="10">
        <f t="shared" si="14"/>
        <v>0</v>
      </c>
      <c r="H128" s="10" t="b">
        <f>IF(ISERROR(VLOOKUP(E128,cuentas_pyme!C:C,1,FALSE)),FALSE,TRUE)</f>
        <v>1</v>
      </c>
      <c r="I128" s="10" t="s">
        <v>2690</v>
      </c>
      <c r="J128" s="11" t="s">
        <v>2695</v>
      </c>
      <c r="K128" s="10" t="str">
        <f t="shared" si="13"/>
        <v>1.A.1.2.21</v>
      </c>
      <c r="L128" s="10" t="str">
        <f t="shared" si="9"/>
        <v>1.A.1.2.21</v>
      </c>
      <c r="M128" s="12" t="s">
        <v>1676</v>
      </c>
      <c r="N128" t="s">
        <v>1578</v>
      </c>
      <c r="O128" t="str">
        <f t="shared" si="8"/>
        <v>1.A</v>
      </c>
    </row>
    <row r="129" spans="3:15" x14ac:dyDescent="0.25">
      <c r="C129" s="9">
        <v>157</v>
      </c>
      <c r="D129" s="16">
        <v>215</v>
      </c>
      <c r="E129" s="10" t="str">
        <f t="shared" si="10"/>
        <v>215</v>
      </c>
      <c r="F129" s="10" t="str">
        <f t="shared" si="11"/>
        <v>21</v>
      </c>
      <c r="G129" s="10">
        <f t="shared" si="14"/>
        <v>0</v>
      </c>
      <c r="H129" s="10" t="b">
        <f>IF(ISERROR(VLOOKUP(E129,cuentas_pyme!C:C,1,FALSE)),FALSE,TRUE)</f>
        <v>1</v>
      </c>
      <c r="I129" s="10" t="s">
        <v>2690</v>
      </c>
      <c r="J129" s="11" t="s">
        <v>2696</v>
      </c>
      <c r="K129" s="10" t="str">
        <f t="shared" si="13"/>
        <v>1.A.1.2.21</v>
      </c>
      <c r="L129" s="10" t="str">
        <f t="shared" si="9"/>
        <v>1.A.1.2.21</v>
      </c>
      <c r="M129" s="12" t="s">
        <v>1677</v>
      </c>
      <c r="N129" t="s">
        <v>1578</v>
      </c>
      <c r="O129" t="str">
        <f t="shared" si="8"/>
        <v>1.A</v>
      </c>
    </row>
    <row r="130" spans="3:15" x14ac:dyDescent="0.25">
      <c r="C130" s="9">
        <v>158</v>
      </c>
      <c r="D130" s="16">
        <v>216</v>
      </c>
      <c r="E130" s="10" t="str">
        <f t="shared" si="10"/>
        <v>216</v>
      </c>
      <c r="F130" s="10" t="str">
        <f t="shared" si="11"/>
        <v>21</v>
      </c>
      <c r="G130" s="10">
        <f t="shared" si="14"/>
        <v>0</v>
      </c>
      <c r="H130" s="10" t="b">
        <f>IF(ISERROR(VLOOKUP(E130,cuentas_pyme!C:C,1,FALSE)),FALSE,TRUE)</f>
        <v>1</v>
      </c>
      <c r="I130" s="10" t="s">
        <v>2690</v>
      </c>
      <c r="J130" s="11" t="s">
        <v>2697</v>
      </c>
      <c r="K130" s="10" t="str">
        <f t="shared" si="13"/>
        <v>1.A.1.2.21</v>
      </c>
      <c r="L130" s="10" t="str">
        <f t="shared" si="9"/>
        <v>1.A.1.2.21</v>
      </c>
      <c r="M130" s="12" t="s">
        <v>1678</v>
      </c>
      <c r="N130" t="s">
        <v>1578</v>
      </c>
      <c r="O130" t="str">
        <f t="shared" si="8"/>
        <v>1.A</v>
      </c>
    </row>
    <row r="131" spans="3:15" x14ac:dyDescent="0.25">
      <c r="C131" s="9">
        <v>159</v>
      </c>
      <c r="D131" s="16">
        <v>217</v>
      </c>
      <c r="E131" s="10" t="str">
        <f t="shared" si="10"/>
        <v>217</v>
      </c>
      <c r="F131" s="10" t="str">
        <f t="shared" si="11"/>
        <v>21</v>
      </c>
      <c r="G131" s="10">
        <f t="shared" si="14"/>
        <v>0</v>
      </c>
      <c r="H131" s="10" t="b">
        <f>IF(ISERROR(VLOOKUP(E131,cuentas_pyme!C:C,1,FALSE)),FALSE,TRUE)</f>
        <v>1</v>
      </c>
      <c r="I131" s="10" t="s">
        <v>2690</v>
      </c>
      <c r="J131" s="11" t="s">
        <v>2698</v>
      </c>
      <c r="K131" s="10" t="str">
        <f t="shared" si="13"/>
        <v>1.A.1.2.21</v>
      </c>
      <c r="L131" s="10" t="str">
        <f t="shared" si="9"/>
        <v>1.A.1.2.21</v>
      </c>
      <c r="M131" s="12" t="s">
        <v>1679</v>
      </c>
      <c r="N131" t="s">
        <v>1578</v>
      </c>
      <c r="O131" t="str">
        <f t="shared" si="8"/>
        <v>1.A</v>
      </c>
    </row>
    <row r="132" spans="3:15" x14ac:dyDescent="0.25">
      <c r="C132" s="9">
        <v>160</v>
      </c>
      <c r="D132" s="16">
        <v>218</v>
      </c>
      <c r="E132" s="10" t="str">
        <f t="shared" si="10"/>
        <v>218</v>
      </c>
      <c r="F132" s="10" t="str">
        <f t="shared" si="11"/>
        <v>21</v>
      </c>
      <c r="G132" s="10">
        <f t="shared" si="14"/>
        <v>0</v>
      </c>
      <c r="H132" s="10" t="b">
        <f>IF(ISERROR(VLOOKUP(E132,cuentas_pyme!C:C,1,FALSE)),FALSE,TRUE)</f>
        <v>1</v>
      </c>
      <c r="I132" s="10" t="s">
        <v>2690</v>
      </c>
      <c r="J132" s="11" t="s">
        <v>2699</v>
      </c>
      <c r="K132" s="10" t="str">
        <f t="shared" si="13"/>
        <v>1.A.1.2.21</v>
      </c>
      <c r="L132" s="10" t="str">
        <f t="shared" si="9"/>
        <v>1.A.1.2.21</v>
      </c>
      <c r="M132" s="12" t="s">
        <v>1680</v>
      </c>
      <c r="N132" t="s">
        <v>1578</v>
      </c>
      <c r="O132" t="str">
        <f t="shared" ref="O132:O195" si="15">IFERROR(VLOOKUP(N132,$Q$4:$R$9,2,FALSE),"")</f>
        <v>1.A</v>
      </c>
    </row>
    <row r="133" spans="3:15" x14ac:dyDescent="0.25">
      <c r="C133" s="9">
        <v>161</v>
      </c>
      <c r="D133" s="16">
        <v>219</v>
      </c>
      <c r="E133" s="10" t="str">
        <f t="shared" si="10"/>
        <v>219</v>
      </c>
      <c r="F133" s="10" t="str">
        <f t="shared" si="11"/>
        <v>21</v>
      </c>
      <c r="G133" s="10">
        <f t="shared" si="14"/>
        <v>0</v>
      </c>
      <c r="H133" s="10" t="b">
        <f>IF(ISERROR(VLOOKUP(E133,cuentas_pyme!C:C,1,FALSE)),FALSE,TRUE)</f>
        <v>1</v>
      </c>
      <c r="I133" s="10" t="s">
        <v>2690</v>
      </c>
      <c r="J133" s="11" t="s">
        <v>2700</v>
      </c>
      <c r="K133" s="10" t="str">
        <f t="shared" si="13"/>
        <v>1.A.1.2.21</v>
      </c>
      <c r="L133" s="10" t="str">
        <f t="shared" si="9"/>
        <v>1.A.1.2.21</v>
      </c>
      <c r="M133" s="12" t="s">
        <v>1681</v>
      </c>
      <c r="N133" t="s">
        <v>1578</v>
      </c>
      <c r="O133" t="str">
        <f t="shared" si="15"/>
        <v>1.A</v>
      </c>
    </row>
    <row r="134" spans="3:15" x14ac:dyDescent="0.25">
      <c r="C134" s="9">
        <v>162</v>
      </c>
      <c r="D134" s="16">
        <v>22</v>
      </c>
      <c r="E134" s="10" t="str">
        <f t="shared" si="10"/>
        <v>22</v>
      </c>
      <c r="F134" s="10" t="str">
        <f t="shared" si="11"/>
        <v>2</v>
      </c>
      <c r="G134" s="10">
        <f t="shared" si="14"/>
        <v>1</v>
      </c>
      <c r="H134" s="10" t="b">
        <f>IF(ISERROR(VLOOKUP(E134,cuentas_pyme!C:C,1,FALSE)),FALSE,TRUE)</f>
        <v>1</v>
      </c>
      <c r="I134" s="10" t="str">
        <f>VLOOKUP(D134,cuentas_balance!C:I,7,FALSE)</f>
        <v>1.A.1.3</v>
      </c>
      <c r="J134" s="11" t="str">
        <f t="shared" si="12"/>
        <v>1.A.1.3.22</v>
      </c>
      <c r="K134" s="10" t="str">
        <f t="shared" si="13"/>
        <v>1.A.1.3</v>
      </c>
      <c r="L134" s="10" t="str">
        <f t="shared" si="9"/>
        <v>1.A.1.3</v>
      </c>
      <c r="M134" s="12" t="s">
        <v>3072</v>
      </c>
      <c r="N134" t="s">
        <v>1578</v>
      </c>
      <c r="O134" t="str">
        <f t="shared" si="15"/>
        <v>1.A</v>
      </c>
    </row>
    <row r="135" spans="3:15" x14ac:dyDescent="0.25">
      <c r="C135" s="9">
        <v>163</v>
      </c>
      <c r="D135" s="16">
        <v>220</v>
      </c>
      <c r="E135" s="10" t="str">
        <f t="shared" si="10"/>
        <v>220</v>
      </c>
      <c r="F135" s="10" t="str">
        <f t="shared" si="11"/>
        <v>22</v>
      </c>
      <c r="G135" s="10">
        <f t="shared" si="14"/>
        <v>0</v>
      </c>
      <c r="H135" s="10" t="b">
        <f>IF(ISERROR(VLOOKUP(E135,cuentas_pyme!C:C,1,FALSE)),FALSE,TRUE)</f>
        <v>1</v>
      </c>
      <c r="I135" s="10" t="s">
        <v>2701</v>
      </c>
      <c r="J135" s="11" t="s">
        <v>2702</v>
      </c>
      <c r="K135" s="10" t="str">
        <f t="shared" si="13"/>
        <v>1.A.1.3.22</v>
      </c>
      <c r="L135" s="10" t="str">
        <f t="shared" si="9"/>
        <v>1.A.1.3.22</v>
      </c>
      <c r="M135" s="12" t="s">
        <v>1682</v>
      </c>
      <c r="N135" t="s">
        <v>1578</v>
      </c>
      <c r="O135" t="str">
        <f t="shared" si="15"/>
        <v>1.A</v>
      </c>
    </row>
    <row r="136" spans="3:15" x14ac:dyDescent="0.25">
      <c r="C136" s="9">
        <v>164</v>
      </c>
      <c r="D136" s="16">
        <v>221</v>
      </c>
      <c r="E136" s="10" t="str">
        <f t="shared" si="10"/>
        <v>221</v>
      </c>
      <c r="F136" s="10" t="str">
        <f t="shared" si="11"/>
        <v>22</v>
      </c>
      <c r="G136" s="10">
        <f t="shared" si="14"/>
        <v>0</v>
      </c>
      <c r="H136" s="10" t="b">
        <f>IF(ISERROR(VLOOKUP(E136,cuentas_pyme!C:C,1,FALSE)),FALSE,TRUE)</f>
        <v>1</v>
      </c>
      <c r="I136" s="10" t="s">
        <v>2701</v>
      </c>
      <c r="J136" s="11" t="s">
        <v>2703</v>
      </c>
      <c r="K136" s="10" t="str">
        <f t="shared" si="13"/>
        <v>1.A.1.3.22</v>
      </c>
      <c r="L136" s="10" t="str">
        <f t="shared" si="9"/>
        <v>1.A.1.3.22</v>
      </c>
      <c r="M136" s="12" t="s">
        <v>1683</v>
      </c>
      <c r="N136" t="s">
        <v>1578</v>
      </c>
      <c r="O136" t="str">
        <f t="shared" si="15"/>
        <v>1.A</v>
      </c>
    </row>
    <row r="137" spans="3:15" x14ac:dyDescent="0.25">
      <c r="C137" s="9">
        <v>165</v>
      </c>
      <c r="D137" s="16">
        <v>23</v>
      </c>
      <c r="E137" s="10" t="str">
        <f t="shared" si="10"/>
        <v>23</v>
      </c>
      <c r="F137" s="10" t="str">
        <f t="shared" si="11"/>
        <v>2</v>
      </c>
      <c r="G137" s="10">
        <f t="shared" si="14"/>
        <v>1</v>
      </c>
      <c r="H137" s="10" t="b">
        <f>IF(ISERROR(VLOOKUP(E137,cuentas_pyme!C:C,1,FALSE)),FALSE,TRUE)</f>
        <v>1</v>
      </c>
      <c r="I137" s="10" t="str">
        <f>VLOOKUP(D137,cuentas_balance!C:I,7,FALSE)</f>
        <v>1.A.1.2</v>
      </c>
      <c r="J137" s="11" t="str">
        <f t="shared" si="12"/>
        <v>1.A.1.2.23</v>
      </c>
      <c r="K137" s="10" t="str">
        <f t="shared" si="13"/>
        <v>1.A.1.2</v>
      </c>
      <c r="L137" s="10" t="str">
        <f t="shared" ref="L137:L200" si="16">VLOOKUP(K137,J:J,1,FALSE)</f>
        <v>1.A.1.2</v>
      </c>
      <c r="M137" s="12" t="s">
        <v>3065</v>
      </c>
      <c r="N137" t="s">
        <v>1578</v>
      </c>
      <c r="O137" t="str">
        <f t="shared" si="15"/>
        <v>1.A</v>
      </c>
    </row>
    <row r="138" spans="3:15" x14ac:dyDescent="0.25">
      <c r="C138" s="9">
        <v>166</v>
      </c>
      <c r="D138" s="16">
        <v>230</v>
      </c>
      <c r="E138" s="10" t="str">
        <f t="shared" si="10"/>
        <v>230</v>
      </c>
      <c r="F138" s="10" t="str">
        <f t="shared" si="11"/>
        <v>23</v>
      </c>
      <c r="G138" s="10">
        <f t="shared" si="14"/>
        <v>0</v>
      </c>
      <c r="H138" s="10" t="b">
        <f>IF(ISERROR(VLOOKUP(E138,cuentas_pyme!C:C,1,FALSE)),FALSE,TRUE)</f>
        <v>1</v>
      </c>
      <c r="I138" s="10" t="s">
        <v>2704</v>
      </c>
      <c r="J138" s="11" t="s">
        <v>2705</v>
      </c>
      <c r="K138" s="10" t="str">
        <f t="shared" si="13"/>
        <v>1.A.1.2.23</v>
      </c>
      <c r="L138" s="10" t="str">
        <f t="shared" si="16"/>
        <v>1.A.1.2.23</v>
      </c>
      <c r="M138" s="12" t="s">
        <v>1684</v>
      </c>
      <c r="N138" t="s">
        <v>1578</v>
      </c>
      <c r="O138" t="str">
        <f t="shared" si="15"/>
        <v>1.A</v>
      </c>
    </row>
    <row r="139" spans="3:15" x14ac:dyDescent="0.25">
      <c r="C139" s="9">
        <v>167</v>
      </c>
      <c r="D139" s="16">
        <v>231</v>
      </c>
      <c r="E139" s="10" t="str">
        <f t="shared" si="10"/>
        <v>231</v>
      </c>
      <c r="F139" s="10" t="str">
        <f t="shared" si="11"/>
        <v>23</v>
      </c>
      <c r="G139" s="10">
        <f t="shared" si="14"/>
        <v>0</v>
      </c>
      <c r="H139" s="10" t="b">
        <f>IF(ISERROR(VLOOKUP(E139,cuentas_pyme!C:C,1,FALSE)),FALSE,TRUE)</f>
        <v>1</v>
      </c>
      <c r="I139" s="10" t="s">
        <v>2704</v>
      </c>
      <c r="J139" s="11" t="s">
        <v>2706</v>
      </c>
      <c r="K139" s="10" t="str">
        <f t="shared" si="13"/>
        <v>1.A.1.2.23</v>
      </c>
      <c r="L139" s="10" t="str">
        <f t="shared" si="16"/>
        <v>1.A.1.2.23</v>
      </c>
      <c r="M139" s="12" t="s">
        <v>1685</v>
      </c>
      <c r="N139" t="s">
        <v>1578</v>
      </c>
      <c r="O139" t="str">
        <f t="shared" si="15"/>
        <v>1.A</v>
      </c>
    </row>
    <row r="140" spans="3:15" x14ac:dyDescent="0.25">
      <c r="C140" s="9">
        <v>168</v>
      </c>
      <c r="D140" s="16">
        <v>232</v>
      </c>
      <c r="E140" s="10" t="str">
        <f t="shared" si="10"/>
        <v>232</v>
      </c>
      <c r="F140" s="10" t="str">
        <f t="shared" si="11"/>
        <v>23</v>
      </c>
      <c r="G140" s="10">
        <f t="shared" si="14"/>
        <v>0</v>
      </c>
      <c r="H140" s="10" t="b">
        <f>IF(ISERROR(VLOOKUP(E140,cuentas_pyme!C:C,1,FALSE)),FALSE,TRUE)</f>
        <v>1</v>
      </c>
      <c r="I140" s="10" t="s">
        <v>2704</v>
      </c>
      <c r="J140" s="11" t="s">
        <v>2707</v>
      </c>
      <c r="K140" s="10" t="str">
        <f t="shared" si="13"/>
        <v>1.A.1.2.23</v>
      </c>
      <c r="L140" s="10" t="str">
        <f t="shared" si="16"/>
        <v>1.A.1.2.23</v>
      </c>
      <c r="M140" s="12" t="s">
        <v>1686</v>
      </c>
      <c r="N140" t="s">
        <v>1578</v>
      </c>
      <c r="O140" t="str">
        <f t="shared" si="15"/>
        <v>1.A</v>
      </c>
    </row>
    <row r="141" spans="3:15" x14ac:dyDescent="0.25">
      <c r="C141" s="9">
        <v>169</v>
      </c>
      <c r="D141" s="16">
        <v>233</v>
      </c>
      <c r="E141" s="10" t="str">
        <f t="shared" si="10"/>
        <v>233</v>
      </c>
      <c r="F141" s="10" t="str">
        <f t="shared" si="11"/>
        <v>23</v>
      </c>
      <c r="G141" s="10">
        <f t="shared" si="14"/>
        <v>0</v>
      </c>
      <c r="H141" s="10" t="b">
        <f>IF(ISERROR(VLOOKUP(E141,cuentas_pyme!C:C,1,FALSE)),FALSE,TRUE)</f>
        <v>1</v>
      </c>
      <c r="I141" s="10" t="s">
        <v>2704</v>
      </c>
      <c r="J141" s="11" t="s">
        <v>2708</v>
      </c>
      <c r="K141" s="10" t="str">
        <f t="shared" si="13"/>
        <v>1.A.1.2.23</v>
      </c>
      <c r="L141" s="10" t="str">
        <f t="shared" si="16"/>
        <v>1.A.1.2.23</v>
      </c>
      <c r="M141" s="12" t="s">
        <v>1687</v>
      </c>
      <c r="N141" t="s">
        <v>1578</v>
      </c>
      <c r="O141" t="str">
        <f t="shared" si="15"/>
        <v>1.A</v>
      </c>
    </row>
    <row r="142" spans="3:15" x14ac:dyDescent="0.25">
      <c r="C142" s="9">
        <v>170</v>
      </c>
      <c r="D142" s="16">
        <v>237</v>
      </c>
      <c r="E142" s="10" t="str">
        <f t="shared" si="10"/>
        <v>237</v>
      </c>
      <c r="F142" s="10" t="str">
        <f t="shared" si="11"/>
        <v>23</v>
      </c>
      <c r="G142" s="10">
        <f t="shared" si="14"/>
        <v>0</v>
      </c>
      <c r="H142" s="10" t="b">
        <f>IF(ISERROR(VLOOKUP(E142,cuentas_pyme!C:C,1,FALSE)),FALSE,TRUE)</f>
        <v>1</v>
      </c>
      <c r="I142" s="10" t="s">
        <v>2704</v>
      </c>
      <c r="J142" s="11" t="s">
        <v>2709</v>
      </c>
      <c r="K142" s="10" t="str">
        <f t="shared" si="13"/>
        <v>1.A.1.2.23</v>
      </c>
      <c r="L142" s="10" t="str">
        <f t="shared" si="16"/>
        <v>1.A.1.2.23</v>
      </c>
      <c r="M142" s="12" t="s">
        <v>1688</v>
      </c>
      <c r="N142" t="s">
        <v>1578</v>
      </c>
      <c r="O142" t="str">
        <f t="shared" si="15"/>
        <v>1.A</v>
      </c>
    </row>
    <row r="143" spans="3:15" x14ac:dyDescent="0.25">
      <c r="C143" s="9">
        <v>171</v>
      </c>
      <c r="D143" s="16">
        <v>239</v>
      </c>
      <c r="E143" s="10" t="str">
        <f t="shared" si="10"/>
        <v>239</v>
      </c>
      <c r="F143" s="10" t="str">
        <f t="shared" si="11"/>
        <v>23</v>
      </c>
      <c r="G143" s="10">
        <f t="shared" si="14"/>
        <v>0</v>
      </c>
      <c r="H143" s="10" t="b">
        <f>IF(ISERROR(VLOOKUP(E143,cuentas_pyme!C:C,1,FALSE)),FALSE,TRUE)</f>
        <v>1</v>
      </c>
      <c r="I143" s="10" t="s">
        <v>2704</v>
      </c>
      <c r="J143" s="11" t="s">
        <v>2710</v>
      </c>
      <c r="K143" s="10" t="str">
        <f t="shared" si="13"/>
        <v>1.A.1.2.23</v>
      </c>
      <c r="L143" s="10" t="str">
        <f t="shared" si="16"/>
        <v>1.A.1.2.23</v>
      </c>
      <c r="M143" s="12" t="s">
        <v>1689</v>
      </c>
      <c r="N143" t="s">
        <v>1578</v>
      </c>
      <c r="O143" t="str">
        <f t="shared" si="15"/>
        <v>1.A</v>
      </c>
    </row>
    <row r="144" spans="3:15" x14ac:dyDescent="0.25">
      <c r="C144" s="9">
        <v>174</v>
      </c>
      <c r="D144" s="16">
        <v>2403</v>
      </c>
      <c r="E144" s="10" t="str">
        <f t="shared" si="10"/>
        <v>2403</v>
      </c>
      <c r="F144" s="10" t="str">
        <f t="shared" si="11"/>
        <v>240</v>
      </c>
      <c r="G144" s="10">
        <f t="shared" si="14"/>
        <v>0</v>
      </c>
      <c r="H144" s="10" t="b">
        <f>IF(ISERROR(VLOOKUP(E144,cuentas_pyme!C:C,1,FALSE)),FALSE,TRUE)</f>
        <v>1</v>
      </c>
      <c r="I144" s="10" t="str">
        <f>VLOOKUP(D144,cuentas_balance!C:I,7,FALSE)</f>
        <v>1.A.1.4</v>
      </c>
      <c r="J144" s="11" t="str">
        <f t="shared" si="12"/>
        <v>1.A.1.4.2403</v>
      </c>
      <c r="K144" s="10" t="str">
        <f t="shared" si="13"/>
        <v>1.A.1.4</v>
      </c>
      <c r="L144" s="10" t="str">
        <f t="shared" si="16"/>
        <v>1.A.1.4</v>
      </c>
      <c r="M144" s="12" t="s">
        <v>1690</v>
      </c>
      <c r="N144" t="s">
        <v>1578</v>
      </c>
      <c r="O144" t="str">
        <f t="shared" si="15"/>
        <v>1.A</v>
      </c>
    </row>
    <row r="145" spans="3:15" x14ac:dyDescent="0.25">
      <c r="C145" s="9">
        <v>175</v>
      </c>
      <c r="D145" s="16">
        <v>2404</v>
      </c>
      <c r="E145" s="10" t="str">
        <f t="shared" si="10"/>
        <v>2404</v>
      </c>
      <c r="F145" s="10" t="str">
        <f t="shared" si="11"/>
        <v>240</v>
      </c>
      <c r="G145" s="10">
        <f t="shared" si="14"/>
        <v>0</v>
      </c>
      <c r="H145" s="10" t="b">
        <f>IF(ISERROR(VLOOKUP(E145,cuentas_pyme!C:C,1,FALSE)),FALSE,TRUE)</f>
        <v>1</v>
      </c>
      <c r="I145" s="10" t="str">
        <f>VLOOKUP(D145,cuentas_balance!C:I,7,FALSE)</f>
        <v>1.A.1.4</v>
      </c>
      <c r="J145" s="11" t="str">
        <f t="shared" si="12"/>
        <v>1.A.1.4.2404</v>
      </c>
      <c r="K145" s="10" t="str">
        <f t="shared" si="13"/>
        <v>1.A.1.4</v>
      </c>
      <c r="L145" s="10" t="str">
        <f t="shared" si="16"/>
        <v>1.A.1.4</v>
      </c>
      <c r="M145" s="12" t="s">
        <v>1691</v>
      </c>
      <c r="N145" t="s">
        <v>1578</v>
      </c>
      <c r="O145" t="str">
        <f t="shared" si="15"/>
        <v>1.A</v>
      </c>
    </row>
    <row r="146" spans="3:15" x14ac:dyDescent="0.25">
      <c r="C146" s="9">
        <v>176</v>
      </c>
      <c r="D146" s="16">
        <v>2405</v>
      </c>
      <c r="E146" s="10" t="str">
        <f t="shared" si="10"/>
        <v>2405</v>
      </c>
      <c r="F146" s="10" t="str">
        <f t="shared" si="11"/>
        <v>240</v>
      </c>
      <c r="G146" s="10">
        <f t="shared" si="14"/>
        <v>0</v>
      </c>
      <c r="H146" s="10" t="b">
        <f>IF(ISERROR(VLOOKUP(E146,cuentas_pyme!C:C,1,FALSE)),FALSE,TRUE)</f>
        <v>1</v>
      </c>
      <c r="I146" s="10" t="str">
        <f>VLOOKUP(D146,cuentas_balance!C:I,7,FALSE)</f>
        <v>1.A.1.5</v>
      </c>
      <c r="J146" s="11" t="str">
        <f t="shared" si="12"/>
        <v>1.A.1.5.2405</v>
      </c>
      <c r="K146" s="10" t="str">
        <f t="shared" si="13"/>
        <v>1.A.1.5</v>
      </c>
      <c r="L146" s="10" t="str">
        <f t="shared" si="16"/>
        <v>1.A.1.5</v>
      </c>
      <c r="M146" s="12" t="s">
        <v>1692</v>
      </c>
      <c r="N146" t="s">
        <v>1578</v>
      </c>
      <c r="O146" t="str">
        <f t="shared" si="15"/>
        <v>1.A</v>
      </c>
    </row>
    <row r="147" spans="3:15" x14ac:dyDescent="0.25">
      <c r="C147" s="9">
        <v>178</v>
      </c>
      <c r="D147" s="16">
        <v>2413</v>
      </c>
      <c r="E147" s="10" t="str">
        <f t="shared" si="10"/>
        <v>2413</v>
      </c>
      <c r="F147" s="10" t="str">
        <f t="shared" si="11"/>
        <v>241</v>
      </c>
      <c r="G147" s="10">
        <f t="shared" si="14"/>
        <v>0</v>
      </c>
      <c r="H147" s="10" t="b">
        <f>IF(ISERROR(VLOOKUP(E147,cuentas_pyme!C:C,1,FALSE)),FALSE,TRUE)</f>
        <v>1</v>
      </c>
      <c r="I147" s="10" t="str">
        <f>VLOOKUP(D147,cuentas_balance!C:I,7,FALSE)</f>
        <v>1.A.1.4</v>
      </c>
      <c r="J147" s="11" t="str">
        <f t="shared" si="12"/>
        <v>1.A.1.4.2413</v>
      </c>
      <c r="K147" s="10" t="str">
        <f t="shared" si="13"/>
        <v>1.A.1.4</v>
      </c>
      <c r="L147" s="10" t="str">
        <f t="shared" si="16"/>
        <v>1.A.1.4</v>
      </c>
      <c r="M147" s="12" t="s">
        <v>1693</v>
      </c>
      <c r="N147" t="s">
        <v>1578</v>
      </c>
      <c r="O147" t="str">
        <f t="shared" si="15"/>
        <v>1.A</v>
      </c>
    </row>
    <row r="148" spans="3:15" x14ac:dyDescent="0.25">
      <c r="C148" s="9">
        <v>179</v>
      </c>
      <c r="D148" s="16">
        <v>2414</v>
      </c>
      <c r="E148" s="10" t="str">
        <f t="shared" si="10"/>
        <v>2414</v>
      </c>
      <c r="F148" s="10" t="str">
        <f t="shared" si="11"/>
        <v>241</v>
      </c>
      <c r="G148" s="10">
        <f t="shared" si="14"/>
        <v>0</v>
      </c>
      <c r="H148" s="10" t="b">
        <f>IF(ISERROR(VLOOKUP(E148,cuentas_pyme!C:C,1,FALSE)),FALSE,TRUE)</f>
        <v>1</v>
      </c>
      <c r="I148" s="10" t="str">
        <f>VLOOKUP(D148,cuentas_balance!C:I,7,FALSE)</f>
        <v>1.A.1.4</v>
      </c>
      <c r="J148" s="11" t="str">
        <f t="shared" si="12"/>
        <v>1.A.1.4.2414</v>
      </c>
      <c r="K148" s="10" t="str">
        <f t="shared" si="13"/>
        <v>1.A.1.4</v>
      </c>
      <c r="L148" s="10" t="str">
        <f t="shared" si="16"/>
        <v>1.A.1.4</v>
      </c>
      <c r="M148" s="12" t="s">
        <v>1694</v>
      </c>
      <c r="N148" t="s">
        <v>1578</v>
      </c>
      <c r="O148" t="str">
        <f t="shared" si="15"/>
        <v>1.A</v>
      </c>
    </row>
    <row r="149" spans="3:15" x14ac:dyDescent="0.25">
      <c r="C149" s="9">
        <v>180</v>
      </c>
      <c r="D149" s="16">
        <v>2415</v>
      </c>
      <c r="E149" s="10" t="str">
        <f t="shared" si="10"/>
        <v>2415</v>
      </c>
      <c r="F149" s="10" t="str">
        <f t="shared" si="11"/>
        <v>241</v>
      </c>
      <c r="G149" s="10">
        <f t="shared" si="14"/>
        <v>0</v>
      </c>
      <c r="H149" s="10" t="b">
        <f>IF(ISERROR(VLOOKUP(E149,cuentas_pyme!C:C,1,FALSE)),FALSE,TRUE)</f>
        <v>1</v>
      </c>
      <c r="I149" s="10" t="str">
        <f>VLOOKUP(D149,cuentas_balance!C:I,7,FALSE)</f>
        <v>1.A.1.5</v>
      </c>
      <c r="J149" s="11" t="str">
        <f t="shared" si="12"/>
        <v>1.A.1.5.2415</v>
      </c>
      <c r="K149" s="10" t="str">
        <f t="shared" si="13"/>
        <v>1.A.1.5</v>
      </c>
      <c r="L149" s="10" t="str">
        <f t="shared" si="16"/>
        <v>1.A.1.5</v>
      </c>
      <c r="M149" s="12" t="s">
        <v>1695</v>
      </c>
      <c r="N149" t="s">
        <v>1578</v>
      </c>
      <c r="O149" t="str">
        <f t="shared" si="15"/>
        <v>1.A</v>
      </c>
    </row>
    <row r="150" spans="3:15" x14ac:dyDescent="0.25">
      <c r="C150" s="9">
        <v>182</v>
      </c>
      <c r="D150" s="16">
        <v>2423</v>
      </c>
      <c r="E150" s="10" t="str">
        <f t="shared" ref="E150:E208" si="17">TEXT(D150,0)</f>
        <v>2423</v>
      </c>
      <c r="F150" s="10" t="str">
        <f t="shared" ref="F150:F208" si="18">LEFT(D150,LEN(D150)-1)</f>
        <v>242</v>
      </c>
      <c r="G150" s="10">
        <f t="shared" si="14"/>
        <v>0</v>
      </c>
      <c r="H150" s="10" t="b">
        <f>IF(ISERROR(VLOOKUP(E150,cuentas_pyme!C:C,1,FALSE)),FALSE,TRUE)</f>
        <v>1</v>
      </c>
      <c r="I150" s="10" t="str">
        <f>VLOOKUP(D150,cuentas_balance!C:I,7,FALSE)</f>
        <v>1.A.1.4</v>
      </c>
      <c r="J150" s="11" t="str">
        <f t="shared" ref="J150:J208" si="19">I150&amp;"."&amp;E150</f>
        <v>1.A.1.4.2423</v>
      </c>
      <c r="K150" s="10" t="str">
        <f t="shared" si="13"/>
        <v>1.A.1.4</v>
      </c>
      <c r="L150" s="10" t="str">
        <f t="shared" si="16"/>
        <v>1.A.1.4</v>
      </c>
      <c r="M150" s="12" t="s">
        <v>1696</v>
      </c>
      <c r="N150" t="s">
        <v>1578</v>
      </c>
      <c r="O150" t="str">
        <f t="shared" si="15"/>
        <v>1.A</v>
      </c>
    </row>
    <row r="151" spans="3:15" x14ac:dyDescent="0.25">
      <c r="C151" s="9">
        <v>183</v>
      </c>
      <c r="D151" s="16">
        <v>2424</v>
      </c>
      <c r="E151" s="10" t="str">
        <f t="shared" si="17"/>
        <v>2424</v>
      </c>
      <c r="F151" s="10" t="str">
        <f t="shared" si="18"/>
        <v>242</v>
      </c>
      <c r="G151" s="10">
        <f t="shared" si="14"/>
        <v>0</v>
      </c>
      <c r="H151" s="10" t="b">
        <f>IF(ISERROR(VLOOKUP(E151,cuentas_pyme!C:C,1,FALSE)),FALSE,TRUE)</f>
        <v>1</v>
      </c>
      <c r="I151" s="10" t="str">
        <f>VLOOKUP(D151,cuentas_balance!C:I,7,FALSE)</f>
        <v>1.A.1.4</v>
      </c>
      <c r="J151" s="11" t="str">
        <f t="shared" si="19"/>
        <v>1.A.1.4.2424</v>
      </c>
      <c r="K151" s="10" t="str">
        <f t="shared" ref="K151:K208" si="20">I151</f>
        <v>1.A.1.4</v>
      </c>
      <c r="L151" s="10" t="str">
        <f t="shared" si="16"/>
        <v>1.A.1.4</v>
      </c>
      <c r="M151" s="12" t="s">
        <v>1697</v>
      </c>
      <c r="N151" t="s">
        <v>1578</v>
      </c>
      <c r="O151" t="str">
        <f t="shared" si="15"/>
        <v>1.A</v>
      </c>
    </row>
    <row r="152" spans="3:15" x14ac:dyDescent="0.25">
      <c r="C152" s="9">
        <v>184</v>
      </c>
      <c r="D152" s="16">
        <v>2425</v>
      </c>
      <c r="E152" s="10" t="str">
        <f t="shared" si="17"/>
        <v>2425</v>
      </c>
      <c r="F152" s="10" t="str">
        <f t="shared" si="18"/>
        <v>242</v>
      </c>
      <c r="G152" s="10">
        <f t="shared" si="14"/>
        <v>0</v>
      </c>
      <c r="H152" s="10" t="b">
        <f>IF(ISERROR(VLOOKUP(E152,cuentas_pyme!C:C,1,FALSE)),FALSE,TRUE)</f>
        <v>1</v>
      </c>
      <c r="I152" s="10" t="str">
        <f>VLOOKUP(D152,cuentas_balance!C:I,7,FALSE)</f>
        <v>1.A.1.5</v>
      </c>
      <c r="J152" s="11" t="str">
        <f t="shared" si="19"/>
        <v>1.A.1.5.2425</v>
      </c>
      <c r="K152" s="10" t="str">
        <f t="shared" si="20"/>
        <v>1.A.1.5</v>
      </c>
      <c r="L152" s="10" t="str">
        <f t="shared" si="16"/>
        <v>1.A.1.5</v>
      </c>
      <c r="M152" s="12" t="s">
        <v>1698</v>
      </c>
      <c r="N152" t="s">
        <v>1578</v>
      </c>
      <c r="O152" t="str">
        <f t="shared" si="15"/>
        <v>1.A</v>
      </c>
    </row>
    <row r="153" spans="3:15" x14ac:dyDescent="0.25">
      <c r="C153" s="9">
        <v>186</v>
      </c>
      <c r="D153" s="16">
        <v>2493</v>
      </c>
      <c r="E153" s="10" t="str">
        <f t="shared" si="17"/>
        <v>2493</v>
      </c>
      <c r="F153" s="10" t="str">
        <f t="shared" si="18"/>
        <v>249</v>
      </c>
      <c r="G153" s="10">
        <f t="shared" si="14"/>
        <v>0</v>
      </c>
      <c r="H153" s="10" t="b">
        <f>IF(ISERROR(VLOOKUP(E153,cuentas_pyme!C:C,1,FALSE)),FALSE,TRUE)</f>
        <v>1</v>
      </c>
      <c r="I153" s="10" t="str">
        <f>VLOOKUP(D153,cuentas_balance!C:I,7,FALSE)</f>
        <v>1.A.1.4</v>
      </c>
      <c r="J153" s="11" t="str">
        <f t="shared" si="19"/>
        <v>1.A.1.4.2493</v>
      </c>
      <c r="K153" s="10" t="str">
        <f t="shared" si="20"/>
        <v>1.A.1.4</v>
      </c>
      <c r="L153" s="10" t="str">
        <f t="shared" si="16"/>
        <v>1.A.1.4</v>
      </c>
      <c r="M153" s="12" t="s">
        <v>1699</v>
      </c>
      <c r="N153" t="s">
        <v>1578</v>
      </c>
      <c r="O153" t="str">
        <f t="shared" si="15"/>
        <v>1.A</v>
      </c>
    </row>
    <row r="154" spans="3:15" x14ac:dyDescent="0.25">
      <c r="C154" s="9">
        <v>187</v>
      </c>
      <c r="D154" s="16">
        <v>2494</v>
      </c>
      <c r="E154" s="10" t="str">
        <f t="shared" si="17"/>
        <v>2494</v>
      </c>
      <c r="F154" s="10" t="str">
        <f t="shared" si="18"/>
        <v>249</v>
      </c>
      <c r="G154" s="10">
        <f t="shared" si="14"/>
        <v>0</v>
      </c>
      <c r="H154" s="10" t="b">
        <f>IF(ISERROR(VLOOKUP(E154,cuentas_pyme!C:C,1,FALSE)),FALSE,TRUE)</f>
        <v>1</v>
      </c>
      <c r="I154" s="10" t="str">
        <f>VLOOKUP(D154,cuentas_balance!C:I,7,FALSE)</f>
        <v>1.A.1.4</v>
      </c>
      <c r="J154" s="11" t="str">
        <f t="shared" si="19"/>
        <v>1.A.1.4.2494</v>
      </c>
      <c r="K154" s="10" t="str">
        <f t="shared" si="20"/>
        <v>1.A.1.4</v>
      </c>
      <c r="L154" s="10" t="str">
        <f t="shared" si="16"/>
        <v>1.A.1.4</v>
      </c>
      <c r="M154" s="12" t="s">
        <v>1700</v>
      </c>
      <c r="N154" t="s">
        <v>1578</v>
      </c>
      <c r="O154" t="str">
        <f t="shared" si="15"/>
        <v>1.A</v>
      </c>
    </row>
    <row r="155" spans="3:15" x14ac:dyDescent="0.25">
      <c r="C155" s="9">
        <v>188</v>
      </c>
      <c r="D155" s="16">
        <v>2495</v>
      </c>
      <c r="E155" s="10" t="str">
        <f t="shared" si="17"/>
        <v>2495</v>
      </c>
      <c r="F155" s="10" t="str">
        <f t="shared" si="18"/>
        <v>249</v>
      </c>
      <c r="G155" s="10">
        <f t="shared" si="14"/>
        <v>0</v>
      </c>
      <c r="H155" s="10" t="b">
        <f>IF(ISERROR(VLOOKUP(E155,cuentas_pyme!C:C,1,FALSE)),FALSE,TRUE)</f>
        <v>1</v>
      </c>
      <c r="I155" s="10" t="str">
        <f>VLOOKUP(D155,cuentas_balance!C:I,7,FALSE)</f>
        <v>1.A.1.5</v>
      </c>
      <c r="J155" s="11" t="str">
        <f t="shared" si="19"/>
        <v>1.A.1.5.2495</v>
      </c>
      <c r="K155" s="10" t="str">
        <f t="shared" si="20"/>
        <v>1.A.1.5</v>
      </c>
      <c r="L155" s="10" t="str">
        <f t="shared" si="16"/>
        <v>1.A.1.5</v>
      </c>
      <c r="M155" s="12" t="s">
        <v>1701</v>
      </c>
      <c r="N155" t="s">
        <v>1578</v>
      </c>
      <c r="O155" t="str">
        <f t="shared" si="15"/>
        <v>1.A</v>
      </c>
    </row>
    <row r="156" spans="3:15" x14ac:dyDescent="0.25">
      <c r="C156" s="9">
        <v>190</v>
      </c>
      <c r="D156" s="16">
        <v>250</v>
      </c>
      <c r="E156" s="10" t="str">
        <f t="shared" si="17"/>
        <v>250</v>
      </c>
      <c r="F156" s="10" t="str">
        <f t="shared" si="18"/>
        <v>25</v>
      </c>
      <c r="G156" s="10">
        <f t="shared" si="14"/>
        <v>0</v>
      </c>
      <c r="H156" s="10" t="b">
        <f>IF(ISERROR(VLOOKUP(E156,cuentas_pyme!C:C,1,FALSE)),FALSE,TRUE)</f>
        <v>1</v>
      </c>
      <c r="I156" s="10" t="str">
        <f>VLOOKUP(D156,cuentas_balance!C:I,7,FALSE)</f>
        <v>1.A.1.5</v>
      </c>
      <c r="J156" s="11" t="str">
        <f t="shared" si="19"/>
        <v>1.A.1.5.250</v>
      </c>
      <c r="K156" s="10" t="str">
        <f t="shared" si="20"/>
        <v>1.A.1.5</v>
      </c>
      <c r="L156" s="10" t="str">
        <f t="shared" si="16"/>
        <v>1.A.1.5</v>
      </c>
      <c r="M156" s="12" t="s">
        <v>1702</v>
      </c>
      <c r="N156" t="s">
        <v>1578</v>
      </c>
      <c r="O156" t="str">
        <f t="shared" si="15"/>
        <v>1.A</v>
      </c>
    </row>
    <row r="157" spans="3:15" x14ac:dyDescent="0.25">
      <c r="C157" s="9">
        <v>191</v>
      </c>
      <c r="D157" s="16">
        <v>251</v>
      </c>
      <c r="E157" s="10" t="str">
        <f t="shared" si="17"/>
        <v>251</v>
      </c>
      <c r="F157" s="10" t="str">
        <f t="shared" si="18"/>
        <v>25</v>
      </c>
      <c r="G157" s="10">
        <f t="shared" si="14"/>
        <v>0</v>
      </c>
      <c r="H157" s="10" t="b">
        <f>IF(ISERROR(VLOOKUP(E157,cuentas_pyme!C:C,1,FALSE)),FALSE,TRUE)</f>
        <v>1</v>
      </c>
      <c r="I157" s="10" t="str">
        <f>VLOOKUP(D157,cuentas_balance!C:I,7,FALSE)</f>
        <v>1.A.1.5</v>
      </c>
      <c r="J157" s="11" t="str">
        <f t="shared" si="19"/>
        <v>1.A.1.5.251</v>
      </c>
      <c r="K157" s="10" t="str">
        <f t="shared" si="20"/>
        <v>1.A.1.5</v>
      </c>
      <c r="L157" s="10" t="str">
        <f t="shared" si="16"/>
        <v>1.A.1.5</v>
      </c>
      <c r="M157" s="12" t="s">
        <v>1703</v>
      </c>
      <c r="N157" t="s">
        <v>1578</v>
      </c>
      <c r="O157" t="str">
        <f t="shared" si="15"/>
        <v>1.A</v>
      </c>
    </row>
    <row r="158" spans="3:15" x14ac:dyDescent="0.25">
      <c r="C158" s="9">
        <v>192</v>
      </c>
      <c r="D158" s="16">
        <v>252</v>
      </c>
      <c r="E158" s="10" t="str">
        <f t="shared" si="17"/>
        <v>252</v>
      </c>
      <c r="F158" s="10" t="str">
        <f t="shared" si="18"/>
        <v>25</v>
      </c>
      <c r="G158" s="10">
        <f t="shared" si="14"/>
        <v>0</v>
      </c>
      <c r="H158" s="10" t="b">
        <f>IF(ISERROR(VLOOKUP(E158,cuentas_pyme!C:C,1,FALSE)),FALSE,TRUE)</f>
        <v>1</v>
      </c>
      <c r="I158" s="10" t="str">
        <f>VLOOKUP(D158,cuentas_balance!C:I,7,FALSE)</f>
        <v>1.A.1.5</v>
      </c>
      <c r="J158" s="11" t="str">
        <f t="shared" si="19"/>
        <v>1.A.1.5.252</v>
      </c>
      <c r="K158" s="10" t="str">
        <f t="shared" si="20"/>
        <v>1.A.1.5</v>
      </c>
      <c r="L158" s="10" t="str">
        <f t="shared" si="16"/>
        <v>1.A.1.5</v>
      </c>
      <c r="M158" s="12" t="s">
        <v>1704</v>
      </c>
      <c r="N158" t="s">
        <v>1578</v>
      </c>
      <c r="O158" t="str">
        <f t="shared" si="15"/>
        <v>1.A</v>
      </c>
    </row>
    <row r="159" spans="3:15" x14ac:dyDescent="0.25">
      <c r="C159" s="9">
        <v>193</v>
      </c>
      <c r="D159" s="16">
        <v>253</v>
      </c>
      <c r="E159" s="10" t="str">
        <f t="shared" si="17"/>
        <v>253</v>
      </c>
      <c r="F159" s="10" t="str">
        <f t="shared" si="18"/>
        <v>25</v>
      </c>
      <c r="G159" s="10">
        <f t="shared" si="14"/>
        <v>0</v>
      </c>
      <c r="H159" s="10" t="b">
        <f>IF(ISERROR(VLOOKUP(E159,cuentas_pyme!C:C,1,FALSE)),FALSE,TRUE)</f>
        <v>1</v>
      </c>
      <c r="I159" s="10" t="str">
        <f>VLOOKUP(D159,cuentas_balance!C:I,7,FALSE)</f>
        <v>1.A.1.5</v>
      </c>
      <c r="J159" s="11" t="str">
        <f t="shared" si="19"/>
        <v>1.A.1.5.253</v>
      </c>
      <c r="K159" s="10" t="str">
        <f t="shared" si="20"/>
        <v>1.A.1.5</v>
      </c>
      <c r="L159" s="10" t="str">
        <f t="shared" si="16"/>
        <v>1.A.1.5</v>
      </c>
      <c r="M159" s="12" t="s">
        <v>1705</v>
      </c>
      <c r="N159" t="s">
        <v>1578</v>
      </c>
      <c r="O159" t="str">
        <f t="shared" si="15"/>
        <v>1.A</v>
      </c>
    </row>
    <row r="160" spans="3:15" x14ac:dyDescent="0.25">
      <c r="C160" s="9">
        <v>194</v>
      </c>
      <c r="D160" s="16">
        <v>254</v>
      </c>
      <c r="E160" s="10" t="str">
        <f t="shared" si="17"/>
        <v>254</v>
      </c>
      <c r="F160" s="10" t="str">
        <f t="shared" si="18"/>
        <v>25</v>
      </c>
      <c r="G160" s="10">
        <f t="shared" si="14"/>
        <v>0</v>
      </c>
      <c r="H160" s="10" t="b">
        <f>IF(ISERROR(VLOOKUP(E160,cuentas_pyme!C:C,1,FALSE)),FALSE,TRUE)</f>
        <v>1</v>
      </c>
      <c r="I160" s="10" t="str">
        <f>VLOOKUP(D160,cuentas_balance!C:I,7,FALSE)</f>
        <v>1.A.1.5</v>
      </c>
      <c r="J160" s="11" t="str">
        <f t="shared" si="19"/>
        <v>1.A.1.5.254</v>
      </c>
      <c r="K160" s="10" t="str">
        <f t="shared" si="20"/>
        <v>1.A.1.5</v>
      </c>
      <c r="L160" s="10" t="str">
        <f t="shared" si="16"/>
        <v>1.A.1.5</v>
      </c>
      <c r="M160" s="12" t="s">
        <v>1706</v>
      </c>
      <c r="N160" t="s">
        <v>1578</v>
      </c>
      <c r="O160" t="str">
        <f t="shared" si="15"/>
        <v>1.A</v>
      </c>
    </row>
    <row r="161" spans="3:15" x14ac:dyDescent="0.25">
      <c r="C161" s="9">
        <v>195</v>
      </c>
      <c r="D161" s="16">
        <v>255</v>
      </c>
      <c r="E161" s="10" t="str">
        <f t="shared" si="17"/>
        <v>255</v>
      </c>
      <c r="F161" s="10" t="str">
        <f t="shared" si="18"/>
        <v>25</v>
      </c>
      <c r="G161" s="10">
        <f t="shared" si="14"/>
        <v>0</v>
      </c>
      <c r="H161" s="10" t="b">
        <f>IF(ISERROR(VLOOKUP(E161,cuentas_pyme!C:C,1,FALSE)),FALSE,TRUE)</f>
        <v>1</v>
      </c>
      <c r="I161" s="10" t="str">
        <f>VLOOKUP(D161,cuentas_balance!C:I,7,FALSE)</f>
        <v>1.A.1.5</v>
      </c>
      <c r="J161" s="11" t="str">
        <f t="shared" si="19"/>
        <v>1.A.1.5.255</v>
      </c>
      <c r="K161" s="10" t="str">
        <f t="shared" si="20"/>
        <v>1.A.1.5</v>
      </c>
      <c r="L161" s="10" t="str">
        <f t="shared" si="16"/>
        <v>1.A.1.5</v>
      </c>
      <c r="M161" s="12" t="s">
        <v>1707</v>
      </c>
      <c r="N161" t="s">
        <v>1578</v>
      </c>
      <c r="O161" t="str">
        <f t="shared" si="15"/>
        <v>1.A</v>
      </c>
    </row>
    <row r="162" spans="3:15" x14ac:dyDescent="0.25">
      <c r="C162" s="9">
        <v>199</v>
      </c>
      <c r="D162" s="16">
        <v>258</v>
      </c>
      <c r="E162" s="10" t="str">
        <f t="shared" si="17"/>
        <v>258</v>
      </c>
      <c r="F162" s="10" t="str">
        <f t="shared" si="18"/>
        <v>25</v>
      </c>
      <c r="G162" s="10">
        <f t="shared" si="14"/>
        <v>0</v>
      </c>
      <c r="H162" s="10" t="b">
        <f>IF(ISERROR(VLOOKUP(E162,cuentas_pyme!C:C,1,FALSE)),FALSE,TRUE)</f>
        <v>1</v>
      </c>
      <c r="I162" s="10" t="str">
        <f>VLOOKUP(D162,cuentas_balance!C:I,7,FALSE)</f>
        <v>1.A.1.5</v>
      </c>
      <c r="J162" s="11" t="str">
        <f t="shared" si="19"/>
        <v>1.A.1.5.258</v>
      </c>
      <c r="K162" s="10" t="str">
        <f t="shared" si="20"/>
        <v>1.A.1.5</v>
      </c>
      <c r="L162" s="10" t="str">
        <f t="shared" si="16"/>
        <v>1.A.1.5</v>
      </c>
      <c r="M162" s="12" t="s">
        <v>1708</v>
      </c>
      <c r="N162" t="s">
        <v>1578</v>
      </c>
      <c r="O162" t="str">
        <f t="shared" si="15"/>
        <v>1.A</v>
      </c>
    </row>
    <row r="163" spans="3:15" x14ac:dyDescent="0.25">
      <c r="C163" s="9">
        <v>200</v>
      </c>
      <c r="D163" s="16">
        <v>259</v>
      </c>
      <c r="E163" s="10" t="str">
        <f t="shared" si="17"/>
        <v>259</v>
      </c>
      <c r="F163" s="10" t="str">
        <f t="shared" si="18"/>
        <v>25</v>
      </c>
      <c r="G163" s="10">
        <f t="shared" si="14"/>
        <v>0</v>
      </c>
      <c r="H163" s="10" t="b">
        <f>IF(ISERROR(VLOOKUP(E163,cuentas_pyme!C:C,1,FALSE)),FALSE,TRUE)</f>
        <v>1</v>
      </c>
      <c r="I163" s="10" t="str">
        <f>VLOOKUP(D163,cuentas_balance!C:I,7,FALSE)</f>
        <v>1.A.1.5</v>
      </c>
      <c r="J163" s="11" t="str">
        <f t="shared" si="19"/>
        <v>1.A.1.5.259</v>
      </c>
      <c r="K163" s="10" t="str">
        <f t="shared" si="20"/>
        <v>1.A.1.5</v>
      </c>
      <c r="L163" s="10" t="str">
        <f t="shared" si="16"/>
        <v>1.A.1.5</v>
      </c>
      <c r="M163" s="12" t="s">
        <v>1709</v>
      </c>
      <c r="N163" t="s">
        <v>1578</v>
      </c>
      <c r="O163" t="str">
        <f t="shared" si="15"/>
        <v>1.A</v>
      </c>
    </row>
    <row r="164" spans="3:15" x14ac:dyDescent="0.25">
      <c r="C164" s="9">
        <v>201</v>
      </c>
      <c r="D164" s="16">
        <v>26</v>
      </c>
      <c r="E164" s="10" t="str">
        <f t="shared" si="17"/>
        <v>26</v>
      </c>
      <c r="F164" s="10" t="str">
        <f t="shared" si="18"/>
        <v>2</v>
      </c>
      <c r="G164" s="10">
        <f t="shared" si="14"/>
        <v>1</v>
      </c>
      <c r="H164" s="10" t="b">
        <f>IF(ISERROR(VLOOKUP(E164,cuentas_pyme!C:C,1,FALSE)),FALSE,TRUE)</f>
        <v>1</v>
      </c>
      <c r="I164" s="10" t="str">
        <f>VLOOKUP(D164,cuentas_balance!C:I,7,FALSE)</f>
        <v>1.A.1.5</v>
      </c>
      <c r="J164" s="11" t="str">
        <f t="shared" si="19"/>
        <v>1.A.1.5.26</v>
      </c>
      <c r="K164" s="10" t="str">
        <f t="shared" si="20"/>
        <v>1.A.1.5</v>
      </c>
      <c r="L164" s="10" t="str">
        <f t="shared" si="16"/>
        <v>1.A.1.5</v>
      </c>
      <c r="M164" s="12" t="s">
        <v>3059</v>
      </c>
      <c r="N164" t="s">
        <v>1578</v>
      </c>
      <c r="O164" t="str">
        <f t="shared" si="15"/>
        <v>1.A</v>
      </c>
    </row>
    <row r="165" spans="3:15" x14ac:dyDescent="0.25">
      <c r="C165" s="9">
        <v>202</v>
      </c>
      <c r="D165" s="16">
        <v>260</v>
      </c>
      <c r="E165" s="10" t="str">
        <f t="shared" si="17"/>
        <v>260</v>
      </c>
      <c r="F165" s="10" t="str">
        <f t="shared" si="18"/>
        <v>26</v>
      </c>
      <c r="G165" s="10">
        <f t="shared" si="14"/>
        <v>0</v>
      </c>
      <c r="H165" s="10" t="b">
        <f>IF(ISERROR(VLOOKUP(E165,cuentas_pyme!C:C,1,FALSE)),FALSE,TRUE)</f>
        <v>1</v>
      </c>
      <c r="I165" s="10" t="s">
        <v>2711</v>
      </c>
      <c r="J165" s="11" t="s">
        <v>2712</v>
      </c>
      <c r="K165" s="10" t="str">
        <f t="shared" si="20"/>
        <v>1.A.1.5.26</v>
      </c>
      <c r="L165" s="10" t="str">
        <f t="shared" si="16"/>
        <v>1.A.1.5.26</v>
      </c>
      <c r="M165" s="12" t="s">
        <v>1710</v>
      </c>
      <c r="N165" t="s">
        <v>1578</v>
      </c>
      <c r="O165" t="str">
        <f t="shared" si="15"/>
        <v>1.A</v>
      </c>
    </row>
    <row r="166" spans="3:15" x14ac:dyDescent="0.25">
      <c r="C166" s="9">
        <v>203</v>
      </c>
      <c r="D166" s="16">
        <v>265</v>
      </c>
      <c r="E166" s="10" t="str">
        <f t="shared" si="17"/>
        <v>265</v>
      </c>
      <c r="F166" s="10" t="str">
        <f t="shared" si="18"/>
        <v>26</v>
      </c>
      <c r="G166" s="10">
        <f t="shared" si="14"/>
        <v>0</v>
      </c>
      <c r="H166" s="10" t="b">
        <f>IF(ISERROR(VLOOKUP(E166,cuentas_pyme!C:C,1,FALSE)),FALSE,TRUE)</f>
        <v>1</v>
      </c>
      <c r="I166" s="10" t="s">
        <v>2711</v>
      </c>
      <c r="J166" s="11" t="s">
        <v>2713</v>
      </c>
      <c r="K166" s="10" t="str">
        <f t="shared" si="20"/>
        <v>1.A.1.5.26</v>
      </c>
      <c r="L166" s="10" t="str">
        <f t="shared" si="16"/>
        <v>1.A.1.5.26</v>
      </c>
      <c r="M166" s="12" t="s">
        <v>1711</v>
      </c>
      <c r="N166" t="s">
        <v>1578</v>
      </c>
      <c r="O166" t="str">
        <f t="shared" si="15"/>
        <v>1.A</v>
      </c>
    </row>
    <row r="167" spans="3:15" x14ac:dyDescent="0.25">
      <c r="C167" s="9">
        <v>205</v>
      </c>
      <c r="D167" s="16">
        <v>280</v>
      </c>
      <c r="E167" s="10" t="str">
        <f t="shared" si="17"/>
        <v>280</v>
      </c>
      <c r="F167" s="10" t="str">
        <f t="shared" si="18"/>
        <v>28</v>
      </c>
      <c r="G167" s="10">
        <f t="shared" si="14"/>
        <v>1</v>
      </c>
      <c r="H167" s="10" t="b">
        <f>IF(ISERROR(VLOOKUP(E167,cuentas_pyme!C:C,1,FALSE)),FALSE,TRUE)</f>
        <v>1</v>
      </c>
      <c r="I167" s="10" t="str">
        <f>VLOOKUP(D167,cuentas_balance!C:I,7,FALSE)</f>
        <v>1.A.1.1</v>
      </c>
      <c r="J167" s="11" t="str">
        <f t="shared" si="19"/>
        <v>1.A.1.1.280</v>
      </c>
      <c r="K167" s="10" t="str">
        <f t="shared" si="20"/>
        <v>1.A.1.1</v>
      </c>
      <c r="L167" s="10" t="str">
        <f t="shared" si="16"/>
        <v>1.A.1.1</v>
      </c>
      <c r="M167" s="12" t="s">
        <v>1712</v>
      </c>
      <c r="N167" t="s">
        <v>1578</v>
      </c>
      <c r="O167" t="str">
        <f t="shared" si="15"/>
        <v>1.A</v>
      </c>
    </row>
    <row r="168" spans="3:15" x14ac:dyDescent="0.25">
      <c r="C168" s="9">
        <v>206</v>
      </c>
      <c r="D168" s="16">
        <v>2800</v>
      </c>
      <c r="E168" s="10" t="str">
        <f t="shared" si="17"/>
        <v>2800</v>
      </c>
      <c r="F168" s="10" t="str">
        <f t="shared" si="18"/>
        <v>280</v>
      </c>
      <c r="G168" s="10">
        <f t="shared" si="14"/>
        <v>0</v>
      </c>
      <c r="H168" s="10" t="b">
        <f>IF(ISERROR(VLOOKUP(E168,cuentas_pyme!C:C,1,FALSE)),FALSE,TRUE)</f>
        <v>1</v>
      </c>
      <c r="I168" s="10" t="s">
        <v>2714</v>
      </c>
      <c r="J168" s="11" t="s">
        <v>2715</v>
      </c>
      <c r="K168" s="10" t="str">
        <f t="shared" si="20"/>
        <v>1.A.1.1.280</v>
      </c>
      <c r="L168" s="10" t="str">
        <f t="shared" si="16"/>
        <v>1.A.1.1.280</v>
      </c>
      <c r="M168" s="12" t="s">
        <v>1713</v>
      </c>
      <c r="N168" t="s">
        <v>1578</v>
      </c>
      <c r="O168" t="str">
        <f t="shared" si="15"/>
        <v>1.A</v>
      </c>
    </row>
    <row r="169" spans="3:15" x14ac:dyDescent="0.25">
      <c r="C169" s="9">
        <v>207</v>
      </c>
      <c r="D169" s="16">
        <v>2801</v>
      </c>
      <c r="E169" s="10" t="str">
        <f t="shared" si="17"/>
        <v>2801</v>
      </c>
      <c r="F169" s="10" t="str">
        <f t="shared" si="18"/>
        <v>280</v>
      </c>
      <c r="G169" s="10">
        <f t="shared" si="14"/>
        <v>0</v>
      </c>
      <c r="H169" s="10" t="b">
        <f>IF(ISERROR(VLOOKUP(E169,cuentas_pyme!C:C,1,FALSE)),FALSE,TRUE)</f>
        <v>1</v>
      </c>
      <c r="I169" s="10" t="s">
        <v>2714</v>
      </c>
      <c r="J169" s="11" t="s">
        <v>2716</v>
      </c>
      <c r="K169" s="10" t="str">
        <f t="shared" si="20"/>
        <v>1.A.1.1.280</v>
      </c>
      <c r="L169" s="10" t="str">
        <f t="shared" si="16"/>
        <v>1.A.1.1.280</v>
      </c>
      <c r="M169" s="12" t="s">
        <v>1714</v>
      </c>
      <c r="N169" t="s">
        <v>1578</v>
      </c>
      <c r="O169" t="str">
        <f t="shared" si="15"/>
        <v>1.A</v>
      </c>
    </row>
    <row r="170" spans="3:15" x14ac:dyDescent="0.25">
      <c r="C170" s="9">
        <v>208</v>
      </c>
      <c r="D170" s="16">
        <v>2802</v>
      </c>
      <c r="E170" s="10" t="str">
        <f t="shared" si="17"/>
        <v>2802</v>
      </c>
      <c r="F170" s="10" t="str">
        <f t="shared" si="18"/>
        <v>280</v>
      </c>
      <c r="G170" s="10">
        <f t="shared" si="14"/>
        <v>0</v>
      </c>
      <c r="H170" s="10" t="b">
        <f>IF(ISERROR(VLOOKUP(E170,cuentas_pyme!C:C,1,FALSE)),FALSE,TRUE)</f>
        <v>1</v>
      </c>
      <c r="I170" s="10" t="s">
        <v>2714</v>
      </c>
      <c r="J170" s="11" t="s">
        <v>2717</v>
      </c>
      <c r="K170" s="10" t="str">
        <f t="shared" si="20"/>
        <v>1.A.1.1.280</v>
      </c>
      <c r="L170" s="10" t="str">
        <f t="shared" si="16"/>
        <v>1.A.1.1.280</v>
      </c>
      <c r="M170" s="12" t="s">
        <v>1715</v>
      </c>
      <c r="N170" t="s">
        <v>1578</v>
      </c>
      <c r="O170" t="str">
        <f t="shared" si="15"/>
        <v>1.A</v>
      </c>
    </row>
    <row r="171" spans="3:15" x14ac:dyDescent="0.25">
      <c r="C171" s="9">
        <v>209</v>
      </c>
      <c r="D171" s="16">
        <v>2803</v>
      </c>
      <c r="E171" s="10" t="str">
        <f t="shared" si="17"/>
        <v>2803</v>
      </c>
      <c r="F171" s="10" t="str">
        <f t="shared" si="18"/>
        <v>280</v>
      </c>
      <c r="G171" s="10">
        <f t="shared" si="14"/>
        <v>0</v>
      </c>
      <c r="H171" s="10" t="b">
        <f>IF(ISERROR(VLOOKUP(E171,cuentas_pyme!C:C,1,FALSE)),FALSE,TRUE)</f>
        <v>1</v>
      </c>
      <c r="I171" s="10" t="s">
        <v>2714</v>
      </c>
      <c r="J171" s="11" t="s">
        <v>2718</v>
      </c>
      <c r="K171" s="10" t="str">
        <f t="shared" si="20"/>
        <v>1.A.1.1.280</v>
      </c>
      <c r="L171" s="10" t="str">
        <f t="shared" si="16"/>
        <v>1.A.1.1.280</v>
      </c>
      <c r="M171" s="12" t="s">
        <v>1716</v>
      </c>
      <c r="N171" t="s">
        <v>1578</v>
      </c>
      <c r="O171" t="str">
        <f t="shared" si="15"/>
        <v>1.A</v>
      </c>
    </row>
    <row r="172" spans="3:15" x14ac:dyDescent="0.25">
      <c r="C172" s="9">
        <v>210</v>
      </c>
      <c r="D172" s="16">
        <v>2805</v>
      </c>
      <c r="E172" s="10" t="str">
        <f t="shared" si="17"/>
        <v>2805</v>
      </c>
      <c r="F172" s="10" t="str">
        <f t="shared" si="18"/>
        <v>280</v>
      </c>
      <c r="G172" s="10">
        <f t="shared" si="14"/>
        <v>0</v>
      </c>
      <c r="H172" s="10" t="b">
        <f>IF(ISERROR(VLOOKUP(E172,cuentas_pyme!C:C,1,FALSE)),FALSE,TRUE)</f>
        <v>1</v>
      </c>
      <c r="I172" s="10" t="s">
        <v>2714</v>
      </c>
      <c r="J172" s="11" t="s">
        <v>2719</v>
      </c>
      <c r="K172" s="10" t="str">
        <f t="shared" si="20"/>
        <v>1.A.1.1.280</v>
      </c>
      <c r="L172" s="10" t="str">
        <f t="shared" si="16"/>
        <v>1.A.1.1.280</v>
      </c>
      <c r="M172" s="12" t="s">
        <v>1717</v>
      </c>
      <c r="N172" t="s">
        <v>1578</v>
      </c>
      <c r="O172" t="str">
        <f t="shared" si="15"/>
        <v>1.A</v>
      </c>
    </row>
    <row r="173" spans="3:15" x14ac:dyDescent="0.25">
      <c r="C173" s="9">
        <v>211</v>
      </c>
      <c r="D173" s="16">
        <v>2806</v>
      </c>
      <c r="E173" s="10" t="str">
        <f t="shared" si="17"/>
        <v>2806</v>
      </c>
      <c r="F173" s="10" t="str">
        <f t="shared" si="18"/>
        <v>280</v>
      </c>
      <c r="G173" s="10">
        <f t="shared" si="14"/>
        <v>0</v>
      </c>
      <c r="H173" s="10" t="b">
        <f>IF(ISERROR(VLOOKUP(E173,cuentas_pyme!C:C,1,FALSE)),FALSE,TRUE)</f>
        <v>1</v>
      </c>
      <c r="I173" s="10" t="s">
        <v>2714</v>
      </c>
      <c r="J173" s="11" t="s">
        <v>2720</v>
      </c>
      <c r="K173" s="10" t="str">
        <f t="shared" si="20"/>
        <v>1.A.1.1.280</v>
      </c>
      <c r="L173" s="10" t="str">
        <f t="shared" si="16"/>
        <v>1.A.1.1.280</v>
      </c>
      <c r="M173" s="12" t="s">
        <v>1718</v>
      </c>
      <c r="N173" t="s">
        <v>1578</v>
      </c>
      <c r="O173" t="str">
        <f t="shared" si="15"/>
        <v>1.A</v>
      </c>
    </row>
    <row r="174" spans="3:15" x14ac:dyDescent="0.25">
      <c r="C174" s="9">
        <v>212</v>
      </c>
      <c r="D174" s="16">
        <v>281</v>
      </c>
      <c r="E174" s="10" t="str">
        <f t="shared" si="17"/>
        <v>281</v>
      </c>
      <c r="F174" s="10" t="str">
        <f t="shared" si="18"/>
        <v>28</v>
      </c>
      <c r="G174" s="10">
        <f t="shared" si="14"/>
        <v>1</v>
      </c>
      <c r="H174" s="10" t="b">
        <f>IF(ISERROR(VLOOKUP(E174,cuentas_pyme!C:C,1,FALSE)),FALSE,TRUE)</f>
        <v>1</v>
      </c>
      <c r="I174" s="10" t="str">
        <f>VLOOKUP(D174,cuentas_balance!C:I,7,FALSE)</f>
        <v>1.A.1.2</v>
      </c>
      <c r="J174" s="11" t="str">
        <f t="shared" si="19"/>
        <v>1.A.1.2.281</v>
      </c>
      <c r="K174" s="10" t="str">
        <f t="shared" si="20"/>
        <v>1.A.1.2</v>
      </c>
      <c r="L174" s="10" t="str">
        <f t="shared" si="16"/>
        <v>1.A.1.2</v>
      </c>
      <c r="M174" s="12" t="s">
        <v>1719</v>
      </c>
      <c r="N174" t="s">
        <v>1578</v>
      </c>
      <c r="O174" t="str">
        <f t="shared" si="15"/>
        <v>1.A</v>
      </c>
    </row>
    <row r="175" spans="3:15" x14ac:dyDescent="0.25">
      <c r="C175" s="9">
        <v>213</v>
      </c>
      <c r="D175" s="16">
        <v>2811</v>
      </c>
      <c r="E175" s="10" t="str">
        <f t="shared" si="17"/>
        <v>2811</v>
      </c>
      <c r="F175" s="10" t="str">
        <f t="shared" si="18"/>
        <v>281</v>
      </c>
      <c r="G175" s="10">
        <f t="shared" si="14"/>
        <v>0</v>
      </c>
      <c r="H175" s="10" t="b">
        <f>IF(ISERROR(VLOOKUP(E175,cuentas_pyme!C:C,1,FALSE)),FALSE,TRUE)</f>
        <v>1</v>
      </c>
      <c r="I175" s="10" t="s">
        <v>2721</v>
      </c>
      <c r="J175" s="11" t="s">
        <v>2722</v>
      </c>
      <c r="K175" s="10" t="str">
        <f t="shared" si="20"/>
        <v>1.A.1.2.281</v>
      </c>
      <c r="L175" s="10" t="str">
        <f t="shared" si="16"/>
        <v>1.A.1.2.281</v>
      </c>
      <c r="M175" s="12" t="s">
        <v>1720</v>
      </c>
      <c r="N175" t="s">
        <v>1578</v>
      </c>
      <c r="O175" t="str">
        <f t="shared" si="15"/>
        <v>1.A</v>
      </c>
    </row>
    <row r="176" spans="3:15" x14ac:dyDescent="0.25">
      <c r="C176" s="9">
        <v>214</v>
      </c>
      <c r="D176" s="16">
        <v>2812</v>
      </c>
      <c r="E176" s="10" t="str">
        <f t="shared" si="17"/>
        <v>2812</v>
      </c>
      <c r="F176" s="10" t="str">
        <f t="shared" si="18"/>
        <v>281</v>
      </c>
      <c r="G176" s="10">
        <f t="shared" si="14"/>
        <v>0</v>
      </c>
      <c r="H176" s="10" t="b">
        <f>IF(ISERROR(VLOOKUP(E176,cuentas_pyme!C:C,1,FALSE)),FALSE,TRUE)</f>
        <v>1</v>
      </c>
      <c r="I176" s="10" t="s">
        <v>2721</v>
      </c>
      <c r="J176" s="11" t="s">
        <v>2723</v>
      </c>
      <c r="K176" s="10" t="str">
        <f t="shared" si="20"/>
        <v>1.A.1.2.281</v>
      </c>
      <c r="L176" s="10" t="str">
        <f t="shared" si="16"/>
        <v>1.A.1.2.281</v>
      </c>
      <c r="M176" s="12" t="s">
        <v>1721</v>
      </c>
      <c r="N176" t="s">
        <v>1578</v>
      </c>
      <c r="O176" t="str">
        <f t="shared" si="15"/>
        <v>1.A</v>
      </c>
    </row>
    <row r="177" spans="3:15" x14ac:dyDescent="0.25">
      <c r="C177" s="9">
        <v>215</v>
      </c>
      <c r="D177" s="16">
        <v>2813</v>
      </c>
      <c r="E177" s="10" t="str">
        <f t="shared" si="17"/>
        <v>2813</v>
      </c>
      <c r="F177" s="10" t="str">
        <f t="shared" si="18"/>
        <v>281</v>
      </c>
      <c r="G177" s="10">
        <f t="shared" si="14"/>
        <v>0</v>
      </c>
      <c r="H177" s="10" t="b">
        <f>IF(ISERROR(VLOOKUP(E177,cuentas_pyme!C:C,1,FALSE)),FALSE,TRUE)</f>
        <v>1</v>
      </c>
      <c r="I177" s="10" t="s">
        <v>2721</v>
      </c>
      <c r="J177" s="11" t="s">
        <v>2724</v>
      </c>
      <c r="K177" s="10" t="str">
        <f t="shared" si="20"/>
        <v>1.A.1.2.281</v>
      </c>
      <c r="L177" s="10" t="str">
        <f t="shared" si="16"/>
        <v>1.A.1.2.281</v>
      </c>
      <c r="M177" s="12" t="s">
        <v>1722</v>
      </c>
      <c r="N177" t="s">
        <v>1578</v>
      </c>
      <c r="O177" t="str">
        <f t="shared" si="15"/>
        <v>1.A</v>
      </c>
    </row>
    <row r="178" spans="3:15" x14ac:dyDescent="0.25">
      <c r="C178" s="9">
        <v>216</v>
      </c>
      <c r="D178" s="16">
        <v>2814</v>
      </c>
      <c r="E178" s="10" t="str">
        <f t="shared" si="17"/>
        <v>2814</v>
      </c>
      <c r="F178" s="10" t="str">
        <f t="shared" si="18"/>
        <v>281</v>
      </c>
      <c r="G178" s="10">
        <f t="shared" si="14"/>
        <v>0</v>
      </c>
      <c r="H178" s="10" t="b">
        <f>IF(ISERROR(VLOOKUP(E178,cuentas_pyme!C:C,1,FALSE)),FALSE,TRUE)</f>
        <v>1</v>
      </c>
      <c r="I178" s="10" t="s">
        <v>2721</v>
      </c>
      <c r="J178" s="11" t="s">
        <v>2725</v>
      </c>
      <c r="K178" s="10" t="str">
        <f t="shared" si="20"/>
        <v>1.A.1.2.281</v>
      </c>
      <c r="L178" s="10" t="str">
        <f t="shared" si="16"/>
        <v>1.A.1.2.281</v>
      </c>
      <c r="M178" s="12" t="s">
        <v>1723</v>
      </c>
      <c r="N178" t="s">
        <v>1578</v>
      </c>
      <c r="O178" t="str">
        <f t="shared" si="15"/>
        <v>1.A</v>
      </c>
    </row>
    <row r="179" spans="3:15" x14ac:dyDescent="0.25">
      <c r="C179" s="9">
        <v>217</v>
      </c>
      <c r="D179" s="16">
        <v>2815</v>
      </c>
      <c r="E179" s="10" t="str">
        <f t="shared" si="17"/>
        <v>2815</v>
      </c>
      <c r="F179" s="10" t="str">
        <f t="shared" si="18"/>
        <v>281</v>
      </c>
      <c r="G179" s="10">
        <f t="shared" si="14"/>
        <v>0</v>
      </c>
      <c r="H179" s="10" t="b">
        <f>IF(ISERROR(VLOOKUP(E179,cuentas_pyme!C:C,1,FALSE)),FALSE,TRUE)</f>
        <v>1</v>
      </c>
      <c r="I179" s="10" t="s">
        <v>2721</v>
      </c>
      <c r="J179" s="11" t="s">
        <v>2726</v>
      </c>
      <c r="K179" s="10" t="str">
        <f t="shared" si="20"/>
        <v>1.A.1.2.281</v>
      </c>
      <c r="L179" s="10" t="str">
        <f t="shared" si="16"/>
        <v>1.A.1.2.281</v>
      </c>
      <c r="M179" s="12" t="s">
        <v>1724</v>
      </c>
      <c r="N179" t="s">
        <v>1578</v>
      </c>
      <c r="O179" t="str">
        <f t="shared" si="15"/>
        <v>1.A</v>
      </c>
    </row>
    <row r="180" spans="3:15" x14ac:dyDescent="0.25">
      <c r="C180" s="9">
        <v>218</v>
      </c>
      <c r="D180" s="16">
        <v>2816</v>
      </c>
      <c r="E180" s="10" t="str">
        <f t="shared" si="17"/>
        <v>2816</v>
      </c>
      <c r="F180" s="10" t="str">
        <f t="shared" si="18"/>
        <v>281</v>
      </c>
      <c r="G180" s="10">
        <f t="shared" si="14"/>
        <v>0</v>
      </c>
      <c r="H180" s="10" t="b">
        <f>IF(ISERROR(VLOOKUP(E180,cuentas_pyme!C:C,1,FALSE)),FALSE,TRUE)</f>
        <v>1</v>
      </c>
      <c r="I180" s="10" t="s">
        <v>2721</v>
      </c>
      <c r="J180" s="11" t="s">
        <v>2727</v>
      </c>
      <c r="K180" s="10" t="str">
        <f t="shared" si="20"/>
        <v>1.A.1.2.281</v>
      </c>
      <c r="L180" s="10" t="str">
        <f t="shared" si="16"/>
        <v>1.A.1.2.281</v>
      </c>
      <c r="M180" s="12" t="s">
        <v>1725</v>
      </c>
      <c r="N180" t="s">
        <v>1578</v>
      </c>
      <c r="O180" t="str">
        <f t="shared" si="15"/>
        <v>1.A</v>
      </c>
    </row>
    <row r="181" spans="3:15" x14ac:dyDescent="0.25">
      <c r="C181" s="9">
        <v>219</v>
      </c>
      <c r="D181" s="16">
        <v>2817</v>
      </c>
      <c r="E181" s="10" t="str">
        <f t="shared" si="17"/>
        <v>2817</v>
      </c>
      <c r="F181" s="10" t="str">
        <f t="shared" si="18"/>
        <v>281</v>
      </c>
      <c r="G181" s="10">
        <f t="shared" si="14"/>
        <v>0</v>
      </c>
      <c r="H181" s="10" t="b">
        <f>IF(ISERROR(VLOOKUP(E181,cuentas_pyme!C:C,1,FALSE)),FALSE,TRUE)</f>
        <v>1</v>
      </c>
      <c r="I181" s="10" t="s">
        <v>2721</v>
      </c>
      <c r="J181" s="11" t="s">
        <v>2728</v>
      </c>
      <c r="K181" s="10" t="str">
        <f t="shared" si="20"/>
        <v>1.A.1.2.281</v>
      </c>
      <c r="L181" s="10" t="str">
        <f t="shared" si="16"/>
        <v>1.A.1.2.281</v>
      </c>
      <c r="M181" s="12" t="s">
        <v>1726</v>
      </c>
      <c r="N181" t="s">
        <v>1578</v>
      </c>
      <c r="O181" t="str">
        <f t="shared" si="15"/>
        <v>1.A</v>
      </c>
    </row>
    <row r="182" spans="3:15" x14ac:dyDescent="0.25">
      <c r="C182" s="9">
        <v>220</v>
      </c>
      <c r="D182" s="16">
        <v>2818</v>
      </c>
      <c r="E182" s="10" t="str">
        <f t="shared" si="17"/>
        <v>2818</v>
      </c>
      <c r="F182" s="10" t="str">
        <f t="shared" si="18"/>
        <v>281</v>
      </c>
      <c r="G182" s="10">
        <f t="shared" si="14"/>
        <v>0</v>
      </c>
      <c r="H182" s="10" t="b">
        <f>IF(ISERROR(VLOOKUP(E182,cuentas_pyme!C:C,1,FALSE)),FALSE,TRUE)</f>
        <v>1</v>
      </c>
      <c r="I182" s="10" t="s">
        <v>2721</v>
      </c>
      <c r="J182" s="11" t="s">
        <v>2729</v>
      </c>
      <c r="K182" s="10" t="str">
        <f t="shared" si="20"/>
        <v>1.A.1.2.281</v>
      </c>
      <c r="L182" s="10" t="str">
        <f t="shared" si="16"/>
        <v>1.A.1.2.281</v>
      </c>
      <c r="M182" s="12" t="s">
        <v>1727</v>
      </c>
      <c r="N182" t="s">
        <v>1578</v>
      </c>
      <c r="O182" t="str">
        <f t="shared" si="15"/>
        <v>1.A</v>
      </c>
    </row>
    <row r="183" spans="3:15" x14ac:dyDescent="0.25">
      <c r="C183" s="9">
        <v>221</v>
      </c>
      <c r="D183" s="16">
        <v>2819</v>
      </c>
      <c r="E183" s="10" t="str">
        <f t="shared" si="17"/>
        <v>2819</v>
      </c>
      <c r="F183" s="10" t="str">
        <f t="shared" si="18"/>
        <v>281</v>
      </c>
      <c r="G183" s="10">
        <f t="shared" si="14"/>
        <v>0</v>
      </c>
      <c r="H183" s="10" t="b">
        <f>IF(ISERROR(VLOOKUP(E183,cuentas_pyme!C:C,1,FALSE)),FALSE,TRUE)</f>
        <v>1</v>
      </c>
      <c r="I183" s="10" t="s">
        <v>2721</v>
      </c>
      <c r="J183" s="11" t="s">
        <v>2730</v>
      </c>
      <c r="K183" s="10" t="str">
        <f t="shared" si="20"/>
        <v>1.A.1.2.281</v>
      </c>
      <c r="L183" s="10" t="str">
        <f t="shared" si="16"/>
        <v>1.A.1.2.281</v>
      </c>
      <c r="M183" s="12" t="s">
        <v>1728</v>
      </c>
      <c r="N183" t="s">
        <v>1578</v>
      </c>
      <c r="O183" t="str">
        <f t="shared" si="15"/>
        <v>1.A</v>
      </c>
    </row>
    <row r="184" spans="3:15" x14ac:dyDescent="0.25">
      <c r="C184" s="9">
        <v>222</v>
      </c>
      <c r="D184" s="16">
        <v>282</v>
      </c>
      <c r="E184" s="10" t="str">
        <f t="shared" si="17"/>
        <v>282</v>
      </c>
      <c r="F184" s="10" t="str">
        <f t="shared" si="18"/>
        <v>28</v>
      </c>
      <c r="G184" s="10">
        <f t="shared" si="14"/>
        <v>0</v>
      </c>
      <c r="H184" s="10" t="b">
        <f>IF(ISERROR(VLOOKUP(E184,cuentas_pyme!C:C,1,FALSE)),FALSE,TRUE)</f>
        <v>1</v>
      </c>
      <c r="I184" s="10" t="str">
        <f>VLOOKUP(D184,cuentas_balance!C:I,7,FALSE)</f>
        <v>1.A.1.3</v>
      </c>
      <c r="J184" s="11" t="str">
        <f t="shared" si="19"/>
        <v>1.A.1.3.282</v>
      </c>
      <c r="K184" s="10" t="str">
        <f t="shared" si="20"/>
        <v>1.A.1.3</v>
      </c>
      <c r="L184" s="10" t="str">
        <f t="shared" si="16"/>
        <v>1.A.1.3</v>
      </c>
      <c r="M184" s="12" t="s">
        <v>1729</v>
      </c>
      <c r="N184" t="s">
        <v>1578</v>
      </c>
      <c r="O184" t="str">
        <f t="shared" si="15"/>
        <v>1.A</v>
      </c>
    </row>
    <row r="185" spans="3:15" x14ac:dyDescent="0.25">
      <c r="C185" s="9">
        <v>224</v>
      </c>
      <c r="D185" s="16">
        <v>290</v>
      </c>
      <c r="E185" s="10" t="str">
        <f t="shared" si="17"/>
        <v>290</v>
      </c>
      <c r="F185" s="10" t="str">
        <f t="shared" si="18"/>
        <v>29</v>
      </c>
      <c r="G185" s="10">
        <f t="shared" si="14"/>
        <v>1</v>
      </c>
      <c r="H185" s="10" t="b">
        <f>IF(ISERROR(VLOOKUP(E185,cuentas_pyme!C:C,1,FALSE)),FALSE,TRUE)</f>
        <v>1</v>
      </c>
      <c r="I185" s="10" t="str">
        <f>VLOOKUP(D185,cuentas_balance!C:I,7,FALSE)</f>
        <v>1.A.1.1</v>
      </c>
      <c r="J185" s="11" t="str">
        <f t="shared" si="19"/>
        <v>1.A.1.1.290</v>
      </c>
      <c r="K185" s="10" t="str">
        <f t="shared" si="20"/>
        <v>1.A.1.1</v>
      </c>
      <c r="L185" s="10" t="str">
        <f t="shared" si="16"/>
        <v>1.A.1.1</v>
      </c>
      <c r="M185" s="12" t="s">
        <v>1730</v>
      </c>
      <c r="N185" t="s">
        <v>1578</v>
      </c>
      <c r="O185" t="str">
        <f t="shared" si="15"/>
        <v>1.A</v>
      </c>
    </row>
    <row r="186" spans="3:15" x14ac:dyDescent="0.25">
      <c r="C186" s="9">
        <v>225</v>
      </c>
      <c r="D186" s="16">
        <v>2900</v>
      </c>
      <c r="E186" s="10" t="str">
        <f t="shared" si="17"/>
        <v>2900</v>
      </c>
      <c r="F186" s="10" t="str">
        <f t="shared" si="18"/>
        <v>290</v>
      </c>
      <c r="G186" s="10">
        <f t="shared" ref="G186:G249" si="21">IF(IFERROR(VLOOKUP(E186,F:F,1,FALSE),0)&lt;&gt;0,1,0)</f>
        <v>0</v>
      </c>
      <c r="H186" s="10" t="b">
        <f>IF(ISERROR(VLOOKUP(E186,cuentas_pyme!C:C,1,FALSE)),FALSE,TRUE)</f>
        <v>1</v>
      </c>
      <c r="I186" s="10" t="s">
        <v>2731</v>
      </c>
      <c r="J186" s="11" t="s">
        <v>2732</v>
      </c>
      <c r="K186" s="10" t="str">
        <f t="shared" si="20"/>
        <v>1.A.1.1.290</v>
      </c>
      <c r="L186" s="10" t="str">
        <f t="shared" si="16"/>
        <v>1.A.1.1.290</v>
      </c>
      <c r="M186" s="12" t="s">
        <v>1731</v>
      </c>
      <c r="N186" t="s">
        <v>1578</v>
      </c>
      <c r="O186" t="str">
        <f t="shared" si="15"/>
        <v>1.A</v>
      </c>
    </row>
    <row r="187" spans="3:15" x14ac:dyDescent="0.25">
      <c r="C187" s="9">
        <v>226</v>
      </c>
      <c r="D187" s="16">
        <v>2901</v>
      </c>
      <c r="E187" s="10" t="str">
        <f t="shared" si="17"/>
        <v>2901</v>
      </c>
      <c r="F187" s="10" t="str">
        <f t="shared" si="18"/>
        <v>290</v>
      </c>
      <c r="G187" s="10">
        <f t="shared" si="21"/>
        <v>0</v>
      </c>
      <c r="H187" s="10" t="b">
        <f>IF(ISERROR(VLOOKUP(E187,cuentas_pyme!C:C,1,FALSE)),FALSE,TRUE)</f>
        <v>1</v>
      </c>
      <c r="I187" s="10" t="s">
        <v>2731</v>
      </c>
      <c r="J187" s="11" t="s">
        <v>2733</v>
      </c>
      <c r="K187" s="10" t="str">
        <f t="shared" si="20"/>
        <v>1.A.1.1.290</v>
      </c>
      <c r="L187" s="10" t="str">
        <f t="shared" si="16"/>
        <v>1.A.1.1.290</v>
      </c>
      <c r="M187" s="12" t="s">
        <v>1732</v>
      </c>
      <c r="N187" t="s">
        <v>1578</v>
      </c>
      <c r="O187" t="str">
        <f t="shared" si="15"/>
        <v>1.A</v>
      </c>
    </row>
    <row r="188" spans="3:15" x14ac:dyDescent="0.25">
      <c r="C188" s="9">
        <v>227</v>
      </c>
      <c r="D188" s="16">
        <v>2902</v>
      </c>
      <c r="E188" s="10" t="str">
        <f t="shared" si="17"/>
        <v>2902</v>
      </c>
      <c r="F188" s="10" t="str">
        <f t="shared" si="18"/>
        <v>290</v>
      </c>
      <c r="G188" s="10">
        <f t="shared" si="21"/>
        <v>0</v>
      </c>
      <c r="H188" s="10" t="b">
        <f>IF(ISERROR(VLOOKUP(E188,cuentas_pyme!C:C,1,FALSE)),FALSE,TRUE)</f>
        <v>1</v>
      </c>
      <c r="I188" s="10" t="s">
        <v>2731</v>
      </c>
      <c r="J188" s="11" t="s">
        <v>2734</v>
      </c>
      <c r="K188" s="10" t="str">
        <f t="shared" si="20"/>
        <v>1.A.1.1.290</v>
      </c>
      <c r="L188" s="10" t="str">
        <f t="shared" si="16"/>
        <v>1.A.1.1.290</v>
      </c>
      <c r="M188" s="12" t="s">
        <v>1733</v>
      </c>
      <c r="N188" t="s">
        <v>1578</v>
      </c>
      <c r="O188" t="str">
        <f t="shared" si="15"/>
        <v>1.A</v>
      </c>
    </row>
    <row r="189" spans="3:15" x14ac:dyDescent="0.25">
      <c r="C189" s="9">
        <v>228</v>
      </c>
      <c r="D189" s="16">
        <v>2903</v>
      </c>
      <c r="E189" s="10" t="str">
        <f t="shared" si="17"/>
        <v>2903</v>
      </c>
      <c r="F189" s="10" t="str">
        <f t="shared" si="18"/>
        <v>290</v>
      </c>
      <c r="G189" s="10">
        <f t="shared" si="21"/>
        <v>0</v>
      </c>
      <c r="H189" s="10" t="b">
        <f>IF(ISERROR(VLOOKUP(E189,cuentas_pyme!C:C,1,FALSE)),FALSE,TRUE)</f>
        <v>1</v>
      </c>
      <c r="I189" s="10" t="s">
        <v>2731</v>
      </c>
      <c r="J189" s="11" t="s">
        <v>2735</v>
      </c>
      <c r="K189" s="10" t="str">
        <f t="shared" si="20"/>
        <v>1.A.1.1.290</v>
      </c>
      <c r="L189" s="10" t="str">
        <f t="shared" si="16"/>
        <v>1.A.1.1.290</v>
      </c>
      <c r="M189" s="12" t="s">
        <v>1734</v>
      </c>
      <c r="N189" t="s">
        <v>1578</v>
      </c>
      <c r="O189" t="str">
        <f t="shared" si="15"/>
        <v>1.A</v>
      </c>
    </row>
    <row r="190" spans="3:15" x14ac:dyDescent="0.25">
      <c r="C190" s="9">
        <v>229</v>
      </c>
      <c r="D190" s="16">
        <v>2905</v>
      </c>
      <c r="E190" s="10" t="str">
        <f t="shared" si="17"/>
        <v>2905</v>
      </c>
      <c r="F190" s="10" t="str">
        <f t="shared" si="18"/>
        <v>290</v>
      </c>
      <c r="G190" s="10">
        <f t="shared" si="21"/>
        <v>0</v>
      </c>
      <c r="H190" s="10" t="b">
        <f>IF(ISERROR(VLOOKUP(E190,cuentas_pyme!C:C,1,FALSE)),FALSE,TRUE)</f>
        <v>1</v>
      </c>
      <c r="I190" s="10" t="s">
        <v>2731</v>
      </c>
      <c r="J190" s="11" t="s">
        <v>2736</v>
      </c>
      <c r="K190" s="10" t="str">
        <f t="shared" si="20"/>
        <v>1.A.1.1.290</v>
      </c>
      <c r="L190" s="10" t="str">
        <f t="shared" si="16"/>
        <v>1.A.1.1.290</v>
      </c>
      <c r="M190" s="12" t="s">
        <v>1735</v>
      </c>
      <c r="N190" t="s">
        <v>1578</v>
      </c>
      <c r="O190" t="str">
        <f t="shared" si="15"/>
        <v>1.A</v>
      </c>
    </row>
    <row r="191" spans="3:15" x14ac:dyDescent="0.25">
      <c r="C191" s="9">
        <v>230</v>
      </c>
      <c r="D191" s="16">
        <v>2906</v>
      </c>
      <c r="E191" s="10" t="str">
        <f t="shared" si="17"/>
        <v>2906</v>
      </c>
      <c r="F191" s="10" t="str">
        <f t="shared" si="18"/>
        <v>290</v>
      </c>
      <c r="G191" s="10">
        <f t="shared" si="21"/>
        <v>0</v>
      </c>
      <c r="H191" s="10" t="b">
        <f>IF(ISERROR(VLOOKUP(E191,cuentas_pyme!C:C,1,FALSE)),FALSE,TRUE)</f>
        <v>1</v>
      </c>
      <c r="I191" s="10" t="s">
        <v>2731</v>
      </c>
      <c r="J191" s="11" t="s">
        <v>2737</v>
      </c>
      <c r="K191" s="10" t="str">
        <f t="shared" si="20"/>
        <v>1.A.1.1.290</v>
      </c>
      <c r="L191" s="10" t="str">
        <f t="shared" si="16"/>
        <v>1.A.1.1.290</v>
      </c>
      <c r="M191" s="12" t="s">
        <v>1736</v>
      </c>
      <c r="N191" t="s">
        <v>1578</v>
      </c>
      <c r="O191" t="str">
        <f t="shared" si="15"/>
        <v>1.A</v>
      </c>
    </row>
    <row r="192" spans="3:15" x14ac:dyDescent="0.25">
      <c r="C192" s="9">
        <v>231</v>
      </c>
      <c r="D192" s="16">
        <v>291</v>
      </c>
      <c r="E192" s="10" t="str">
        <f t="shared" si="17"/>
        <v>291</v>
      </c>
      <c r="F192" s="10" t="str">
        <f t="shared" si="18"/>
        <v>29</v>
      </c>
      <c r="G192" s="10">
        <f t="shared" si="21"/>
        <v>1</v>
      </c>
      <c r="H192" s="10" t="b">
        <f>IF(ISERROR(VLOOKUP(E192,cuentas_pyme!C:C,1,FALSE)),FALSE,TRUE)</f>
        <v>1</v>
      </c>
      <c r="I192" s="10" t="str">
        <f>VLOOKUP(D192,cuentas_balance!C:I,7,FALSE)</f>
        <v>1.A.1.2</v>
      </c>
      <c r="J192" s="11" t="str">
        <f t="shared" si="19"/>
        <v>1.A.1.2.291</v>
      </c>
      <c r="K192" s="10" t="str">
        <f t="shared" si="20"/>
        <v>1.A.1.2</v>
      </c>
      <c r="L192" s="10" t="str">
        <f t="shared" si="16"/>
        <v>1.A.1.2</v>
      </c>
      <c r="M192" s="12" t="s">
        <v>1737</v>
      </c>
      <c r="N192" t="s">
        <v>1578</v>
      </c>
      <c r="O192" t="str">
        <f t="shared" si="15"/>
        <v>1.A</v>
      </c>
    </row>
    <row r="193" spans="3:15" x14ac:dyDescent="0.25">
      <c r="C193" s="9">
        <v>232</v>
      </c>
      <c r="D193" s="16">
        <v>2910</v>
      </c>
      <c r="E193" s="10" t="str">
        <f t="shared" si="17"/>
        <v>2910</v>
      </c>
      <c r="F193" s="10" t="str">
        <f t="shared" si="18"/>
        <v>291</v>
      </c>
      <c r="G193" s="10">
        <f t="shared" si="21"/>
        <v>0</v>
      </c>
      <c r="H193" s="10" t="b">
        <f>IF(ISERROR(VLOOKUP(E193,cuentas_pyme!C:C,1,FALSE)),FALSE,TRUE)</f>
        <v>1</v>
      </c>
      <c r="I193" s="10" t="s">
        <v>2738</v>
      </c>
      <c r="J193" s="11" t="s">
        <v>2739</v>
      </c>
      <c r="K193" s="10" t="str">
        <f t="shared" si="20"/>
        <v>1.A.1.2.291</v>
      </c>
      <c r="L193" s="10" t="str">
        <f t="shared" si="16"/>
        <v>1.A.1.2.291</v>
      </c>
      <c r="M193" s="12" t="s">
        <v>1738</v>
      </c>
      <c r="N193" t="s">
        <v>1578</v>
      </c>
      <c r="O193" t="str">
        <f t="shared" si="15"/>
        <v>1.A</v>
      </c>
    </row>
    <row r="194" spans="3:15" x14ac:dyDescent="0.25">
      <c r="C194" s="9">
        <v>233</v>
      </c>
      <c r="D194" s="16">
        <v>2911</v>
      </c>
      <c r="E194" s="10" t="str">
        <f t="shared" si="17"/>
        <v>2911</v>
      </c>
      <c r="F194" s="10" t="str">
        <f t="shared" si="18"/>
        <v>291</v>
      </c>
      <c r="G194" s="10">
        <f t="shared" si="21"/>
        <v>0</v>
      </c>
      <c r="H194" s="10" t="b">
        <f>IF(ISERROR(VLOOKUP(E194,cuentas_pyme!C:C,1,FALSE)),FALSE,TRUE)</f>
        <v>1</v>
      </c>
      <c r="I194" s="10" t="s">
        <v>2738</v>
      </c>
      <c r="J194" s="11" t="s">
        <v>2740</v>
      </c>
      <c r="K194" s="10" t="str">
        <f t="shared" si="20"/>
        <v>1.A.1.2.291</v>
      </c>
      <c r="L194" s="10" t="str">
        <f t="shared" si="16"/>
        <v>1.A.1.2.291</v>
      </c>
      <c r="M194" s="12" t="s">
        <v>1739</v>
      </c>
      <c r="N194" t="s">
        <v>1578</v>
      </c>
      <c r="O194" t="str">
        <f t="shared" si="15"/>
        <v>1.A</v>
      </c>
    </row>
    <row r="195" spans="3:15" x14ac:dyDescent="0.25">
      <c r="C195" s="9">
        <v>234</v>
      </c>
      <c r="D195" s="16">
        <v>2912</v>
      </c>
      <c r="E195" s="10" t="str">
        <f t="shared" si="17"/>
        <v>2912</v>
      </c>
      <c r="F195" s="10" t="str">
        <f t="shared" si="18"/>
        <v>291</v>
      </c>
      <c r="G195" s="10">
        <f t="shared" si="21"/>
        <v>0</v>
      </c>
      <c r="H195" s="10" t="b">
        <f>IF(ISERROR(VLOOKUP(E195,cuentas_pyme!C:C,1,FALSE)),FALSE,TRUE)</f>
        <v>1</v>
      </c>
      <c r="I195" s="10" t="s">
        <v>2738</v>
      </c>
      <c r="J195" s="11" t="s">
        <v>2741</v>
      </c>
      <c r="K195" s="10" t="str">
        <f t="shared" si="20"/>
        <v>1.A.1.2.291</v>
      </c>
      <c r="L195" s="10" t="str">
        <f t="shared" si="16"/>
        <v>1.A.1.2.291</v>
      </c>
      <c r="M195" s="12" t="s">
        <v>1740</v>
      </c>
      <c r="N195" t="s">
        <v>1578</v>
      </c>
      <c r="O195" t="str">
        <f t="shared" si="15"/>
        <v>1.A</v>
      </c>
    </row>
    <row r="196" spans="3:15" x14ac:dyDescent="0.25">
      <c r="C196" s="9">
        <v>235</v>
      </c>
      <c r="D196" s="16">
        <v>2913</v>
      </c>
      <c r="E196" s="10" t="str">
        <f t="shared" si="17"/>
        <v>2913</v>
      </c>
      <c r="F196" s="10" t="str">
        <f t="shared" si="18"/>
        <v>291</v>
      </c>
      <c r="G196" s="10">
        <f t="shared" si="21"/>
        <v>0</v>
      </c>
      <c r="H196" s="10" t="b">
        <f>IF(ISERROR(VLOOKUP(E196,cuentas_pyme!C:C,1,FALSE)),FALSE,TRUE)</f>
        <v>1</v>
      </c>
      <c r="I196" s="10" t="s">
        <v>2738</v>
      </c>
      <c r="J196" s="11" t="s">
        <v>2742</v>
      </c>
      <c r="K196" s="10" t="str">
        <f t="shared" si="20"/>
        <v>1.A.1.2.291</v>
      </c>
      <c r="L196" s="10" t="str">
        <f t="shared" si="16"/>
        <v>1.A.1.2.291</v>
      </c>
      <c r="M196" s="12" t="s">
        <v>1741</v>
      </c>
      <c r="N196" t="s">
        <v>1578</v>
      </c>
      <c r="O196" t="str">
        <f t="shared" ref="O196:O259" si="22">IFERROR(VLOOKUP(N196,$Q$4:$R$9,2,FALSE),"")</f>
        <v>1.A</v>
      </c>
    </row>
    <row r="197" spans="3:15" x14ac:dyDescent="0.25">
      <c r="C197" s="9">
        <v>236</v>
      </c>
      <c r="D197" s="16">
        <v>2914</v>
      </c>
      <c r="E197" s="10" t="str">
        <f t="shared" si="17"/>
        <v>2914</v>
      </c>
      <c r="F197" s="10" t="str">
        <f t="shared" si="18"/>
        <v>291</v>
      </c>
      <c r="G197" s="10">
        <f t="shared" si="21"/>
        <v>0</v>
      </c>
      <c r="H197" s="10" t="b">
        <f>IF(ISERROR(VLOOKUP(E197,cuentas_pyme!C:C,1,FALSE)),FALSE,TRUE)</f>
        <v>1</v>
      </c>
      <c r="I197" s="10" t="s">
        <v>2738</v>
      </c>
      <c r="J197" s="11" t="s">
        <v>2743</v>
      </c>
      <c r="K197" s="10" t="str">
        <f t="shared" si="20"/>
        <v>1.A.1.2.291</v>
      </c>
      <c r="L197" s="10" t="str">
        <f t="shared" si="16"/>
        <v>1.A.1.2.291</v>
      </c>
      <c r="M197" s="12" t="s">
        <v>1742</v>
      </c>
      <c r="N197" t="s">
        <v>1578</v>
      </c>
      <c r="O197" t="str">
        <f t="shared" si="22"/>
        <v>1.A</v>
      </c>
    </row>
    <row r="198" spans="3:15" x14ac:dyDescent="0.25">
      <c r="C198" s="9">
        <v>237</v>
      </c>
      <c r="D198" s="16">
        <v>2915</v>
      </c>
      <c r="E198" s="10" t="str">
        <f t="shared" si="17"/>
        <v>2915</v>
      </c>
      <c r="F198" s="10" t="str">
        <f t="shared" si="18"/>
        <v>291</v>
      </c>
      <c r="G198" s="10">
        <f t="shared" si="21"/>
        <v>0</v>
      </c>
      <c r="H198" s="10" t="b">
        <f>IF(ISERROR(VLOOKUP(E198,cuentas_pyme!C:C,1,FALSE)),FALSE,TRUE)</f>
        <v>1</v>
      </c>
      <c r="I198" s="10" t="s">
        <v>2738</v>
      </c>
      <c r="J198" s="11" t="s">
        <v>2744</v>
      </c>
      <c r="K198" s="10" t="str">
        <f t="shared" si="20"/>
        <v>1.A.1.2.291</v>
      </c>
      <c r="L198" s="10" t="str">
        <f t="shared" si="16"/>
        <v>1.A.1.2.291</v>
      </c>
      <c r="M198" s="12" t="s">
        <v>1743</v>
      </c>
      <c r="N198" t="s">
        <v>1578</v>
      </c>
      <c r="O198" t="str">
        <f t="shared" si="22"/>
        <v>1.A</v>
      </c>
    </row>
    <row r="199" spans="3:15" x14ac:dyDescent="0.25">
      <c r="C199" s="9">
        <v>238</v>
      </c>
      <c r="D199" s="16">
        <v>2916</v>
      </c>
      <c r="E199" s="10" t="str">
        <f t="shared" si="17"/>
        <v>2916</v>
      </c>
      <c r="F199" s="10" t="str">
        <f t="shared" si="18"/>
        <v>291</v>
      </c>
      <c r="G199" s="10">
        <f t="shared" si="21"/>
        <v>0</v>
      </c>
      <c r="H199" s="10" t="b">
        <f>IF(ISERROR(VLOOKUP(E199,cuentas_pyme!C:C,1,FALSE)),FALSE,TRUE)</f>
        <v>1</v>
      </c>
      <c r="I199" s="10" t="s">
        <v>2738</v>
      </c>
      <c r="J199" s="11" t="s">
        <v>2745</v>
      </c>
      <c r="K199" s="10" t="str">
        <f t="shared" si="20"/>
        <v>1.A.1.2.291</v>
      </c>
      <c r="L199" s="10" t="str">
        <f t="shared" si="16"/>
        <v>1.A.1.2.291</v>
      </c>
      <c r="M199" s="12" t="s">
        <v>1744</v>
      </c>
      <c r="N199" t="s">
        <v>1578</v>
      </c>
      <c r="O199" t="str">
        <f t="shared" si="22"/>
        <v>1.A</v>
      </c>
    </row>
    <row r="200" spans="3:15" x14ac:dyDescent="0.25">
      <c r="C200" s="9">
        <v>239</v>
      </c>
      <c r="D200" s="16">
        <v>2917</v>
      </c>
      <c r="E200" s="10" t="str">
        <f t="shared" si="17"/>
        <v>2917</v>
      </c>
      <c r="F200" s="10" t="str">
        <f t="shared" si="18"/>
        <v>291</v>
      </c>
      <c r="G200" s="10">
        <f t="shared" si="21"/>
        <v>0</v>
      </c>
      <c r="H200" s="10" t="b">
        <f>IF(ISERROR(VLOOKUP(E200,cuentas_pyme!C:C,1,FALSE)),FALSE,TRUE)</f>
        <v>1</v>
      </c>
      <c r="I200" s="10" t="s">
        <v>2738</v>
      </c>
      <c r="J200" s="11" t="s">
        <v>2746</v>
      </c>
      <c r="K200" s="10" t="str">
        <f t="shared" si="20"/>
        <v>1.A.1.2.291</v>
      </c>
      <c r="L200" s="10" t="str">
        <f t="shared" si="16"/>
        <v>1.A.1.2.291</v>
      </c>
      <c r="M200" s="12" t="s">
        <v>1745</v>
      </c>
      <c r="N200" t="s">
        <v>1578</v>
      </c>
      <c r="O200" t="str">
        <f t="shared" si="22"/>
        <v>1.A</v>
      </c>
    </row>
    <row r="201" spans="3:15" x14ac:dyDescent="0.25">
      <c r="C201" s="9">
        <v>240</v>
      </c>
      <c r="D201" s="16">
        <v>2918</v>
      </c>
      <c r="E201" s="10" t="str">
        <f t="shared" si="17"/>
        <v>2918</v>
      </c>
      <c r="F201" s="10" t="str">
        <f t="shared" si="18"/>
        <v>291</v>
      </c>
      <c r="G201" s="10">
        <f t="shared" si="21"/>
        <v>0</v>
      </c>
      <c r="H201" s="10" t="b">
        <f>IF(ISERROR(VLOOKUP(E201,cuentas_pyme!C:C,1,FALSE)),FALSE,TRUE)</f>
        <v>1</v>
      </c>
      <c r="I201" s="10" t="s">
        <v>2738</v>
      </c>
      <c r="J201" s="11" t="s">
        <v>2747</v>
      </c>
      <c r="K201" s="10" t="str">
        <f t="shared" si="20"/>
        <v>1.A.1.2.291</v>
      </c>
      <c r="L201" s="10" t="str">
        <f t="shared" ref="L201:L264" si="23">VLOOKUP(K201,J:J,1,FALSE)</f>
        <v>1.A.1.2.291</v>
      </c>
      <c r="M201" s="12" t="s">
        <v>1746</v>
      </c>
      <c r="N201" t="s">
        <v>1578</v>
      </c>
      <c r="O201" t="str">
        <f t="shared" si="22"/>
        <v>1.A</v>
      </c>
    </row>
    <row r="202" spans="3:15" x14ac:dyDescent="0.25">
      <c r="C202" s="9">
        <v>241</v>
      </c>
      <c r="D202" s="16">
        <v>2919</v>
      </c>
      <c r="E202" s="10" t="str">
        <f t="shared" si="17"/>
        <v>2919</v>
      </c>
      <c r="F202" s="10" t="str">
        <f t="shared" si="18"/>
        <v>291</v>
      </c>
      <c r="G202" s="10">
        <f t="shared" si="21"/>
        <v>0</v>
      </c>
      <c r="H202" s="10" t="b">
        <f>IF(ISERROR(VLOOKUP(E202,cuentas_pyme!C:C,1,FALSE)),FALSE,TRUE)</f>
        <v>1</v>
      </c>
      <c r="I202" s="10" t="s">
        <v>2738</v>
      </c>
      <c r="J202" s="11" t="s">
        <v>2748</v>
      </c>
      <c r="K202" s="10" t="str">
        <f t="shared" si="20"/>
        <v>1.A.1.2.291</v>
      </c>
      <c r="L202" s="10" t="str">
        <f t="shared" si="23"/>
        <v>1.A.1.2.291</v>
      </c>
      <c r="M202" s="12" t="s">
        <v>1747</v>
      </c>
      <c r="N202" t="s">
        <v>1578</v>
      </c>
      <c r="O202" t="str">
        <f t="shared" si="22"/>
        <v>1.A</v>
      </c>
    </row>
    <row r="203" spans="3:15" x14ac:dyDescent="0.25">
      <c r="C203" s="9">
        <v>242</v>
      </c>
      <c r="D203" s="16">
        <v>292</v>
      </c>
      <c r="E203" s="10" t="str">
        <f t="shared" si="17"/>
        <v>292</v>
      </c>
      <c r="F203" s="10" t="str">
        <f t="shared" si="18"/>
        <v>29</v>
      </c>
      <c r="G203" s="10">
        <f t="shared" si="21"/>
        <v>1</v>
      </c>
      <c r="H203" s="10" t="b">
        <f>IF(ISERROR(VLOOKUP(E203,cuentas_pyme!C:C,1,FALSE)),FALSE,TRUE)</f>
        <v>1</v>
      </c>
      <c r="I203" s="10" t="str">
        <f>VLOOKUP(D203,cuentas_balance!C:I,7,FALSE)</f>
        <v>1.A.1.3</v>
      </c>
      <c r="J203" s="11" t="str">
        <f t="shared" si="19"/>
        <v>1.A.1.3.292</v>
      </c>
      <c r="K203" s="10" t="str">
        <f t="shared" si="20"/>
        <v>1.A.1.3</v>
      </c>
      <c r="L203" s="10" t="str">
        <f t="shared" si="23"/>
        <v>1.A.1.3</v>
      </c>
      <c r="M203" s="12" t="s">
        <v>1748</v>
      </c>
      <c r="N203" t="s">
        <v>1578</v>
      </c>
      <c r="O203" t="str">
        <f t="shared" si="22"/>
        <v>1.A</v>
      </c>
    </row>
    <row r="204" spans="3:15" x14ac:dyDescent="0.25">
      <c r="C204" s="9">
        <v>243</v>
      </c>
      <c r="D204" s="16">
        <v>2920</v>
      </c>
      <c r="E204" s="10" t="str">
        <f t="shared" si="17"/>
        <v>2920</v>
      </c>
      <c r="F204" s="10" t="str">
        <f t="shared" si="18"/>
        <v>292</v>
      </c>
      <c r="G204" s="10">
        <f t="shared" si="21"/>
        <v>0</v>
      </c>
      <c r="H204" s="10" t="b">
        <f>IF(ISERROR(VLOOKUP(E204,cuentas_pyme!C:C,1,FALSE)),FALSE,TRUE)</f>
        <v>1</v>
      </c>
      <c r="I204" s="10" t="s">
        <v>2749</v>
      </c>
      <c r="J204" s="11" t="s">
        <v>2750</v>
      </c>
      <c r="K204" s="10" t="str">
        <f t="shared" si="20"/>
        <v>1.A.1.3.292</v>
      </c>
      <c r="L204" s="10" t="str">
        <f t="shared" si="23"/>
        <v>1.A.1.3.292</v>
      </c>
      <c r="M204" s="12" t="s">
        <v>1749</v>
      </c>
      <c r="N204" t="s">
        <v>1578</v>
      </c>
      <c r="O204" t="str">
        <f t="shared" si="22"/>
        <v>1.A</v>
      </c>
    </row>
    <row r="205" spans="3:15" x14ac:dyDescent="0.25">
      <c r="C205" s="9">
        <v>244</v>
      </c>
      <c r="D205" s="16">
        <v>2921</v>
      </c>
      <c r="E205" s="10" t="str">
        <f t="shared" si="17"/>
        <v>2921</v>
      </c>
      <c r="F205" s="10" t="str">
        <f t="shared" si="18"/>
        <v>292</v>
      </c>
      <c r="G205" s="10">
        <f t="shared" si="21"/>
        <v>0</v>
      </c>
      <c r="H205" s="10" t="b">
        <f>IF(ISERROR(VLOOKUP(E205,cuentas_pyme!C:C,1,FALSE)),FALSE,TRUE)</f>
        <v>1</v>
      </c>
      <c r="I205" s="10" t="s">
        <v>2749</v>
      </c>
      <c r="J205" s="11" t="s">
        <v>2751</v>
      </c>
      <c r="K205" s="10" t="str">
        <f t="shared" si="20"/>
        <v>1.A.1.3.292</v>
      </c>
      <c r="L205" s="10" t="str">
        <f t="shared" si="23"/>
        <v>1.A.1.3.292</v>
      </c>
      <c r="M205" s="12" t="s">
        <v>1739</v>
      </c>
      <c r="N205" t="s">
        <v>1578</v>
      </c>
      <c r="O205" t="str">
        <f t="shared" si="22"/>
        <v>1.A</v>
      </c>
    </row>
    <row r="206" spans="3:15" x14ac:dyDescent="0.25">
      <c r="C206" s="9">
        <v>246</v>
      </c>
      <c r="D206" s="16">
        <v>2933</v>
      </c>
      <c r="E206" s="10" t="str">
        <f t="shared" si="17"/>
        <v>2933</v>
      </c>
      <c r="F206" s="10" t="str">
        <f t="shared" si="18"/>
        <v>293</v>
      </c>
      <c r="G206" s="10">
        <f t="shared" si="21"/>
        <v>0</v>
      </c>
      <c r="H206" s="10" t="b">
        <f>IF(ISERROR(VLOOKUP(E206,cuentas_pyme!C:C,1,FALSE)),FALSE,TRUE)</f>
        <v>1</v>
      </c>
      <c r="I206" s="10" t="str">
        <f>VLOOKUP(D206,cuentas_balance!C:I,7,FALSE)</f>
        <v>1.A.1.4</v>
      </c>
      <c r="J206" s="11" t="str">
        <f t="shared" si="19"/>
        <v>1.A.1.4.2933</v>
      </c>
      <c r="K206" s="10" t="str">
        <f t="shared" si="20"/>
        <v>1.A.1.4</v>
      </c>
      <c r="L206" s="10" t="str">
        <f t="shared" si="23"/>
        <v>1.A.1.4</v>
      </c>
      <c r="M206" s="12" t="s">
        <v>1750</v>
      </c>
      <c r="N206" t="s">
        <v>1578</v>
      </c>
      <c r="O206" t="str">
        <f t="shared" si="22"/>
        <v>1.A</v>
      </c>
    </row>
    <row r="207" spans="3:15" x14ac:dyDescent="0.25">
      <c r="C207" s="9">
        <v>247</v>
      </c>
      <c r="D207" s="16">
        <v>2934</v>
      </c>
      <c r="E207" s="10" t="str">
        <f t="shared" si="17"/>
        <v>2934</v>
      </c>
      <c r="F207" s="10" t="str">
        <f t="shared" si="18"/>
        <v>293</v>
      </c>
      <c r="G207" s="10">
        <f t="shared" si="21"/>
        <v>0</v>
      </c>
      <c r="H207" s="10" t="b">
        <f>IF(ISERROR(VLOOKUP(E207,cuentas_pyme!C:C,1,FALSE)),FALSE,TRUE)</f>
        <v>1</v>
      </c>
      <c r="I207" s="10" t="str">
        <f>VLOOKUP(D207,cuentas_balance!C:I,7,FALSE)</f>
        <v>1.A.1.4</v>
      </c>
      <c r="J207" s="11" t="str">
        <f t="shared" si="19"/>
        <v>1.A.1.4.2934</v>
      </c>
      <c r="K207" s="10" t="str">
        <f t="shared" si="20"/>
        <v>1.A.1.4</v>
      </c>
      <c r="L207" s="10" t="str">
        <f t="shared" si="23"/>
        <v>1.A.1.4</v>
      </c>
      <c r="M207" s="12" t="s">
        <v>1751</v>
      </c>
      <c r="N207" t="s">
        <v>1578</v>
      </c>
      <c r="O207" t="str">
        <f t="shared" si="22"/>
        <v>1.A</v>
      </c>
    </row>
    <row r="208" spans="3:15" x14ac:dyDescent="0.25">
      <c r="C208" s="9">
        <v>248</v>
      </c>
      <c r="D208" s="16">
        <v>2935</v>
      </c>
      <c r="E208" s="10" t="str">
        <f t="shared" si="17"/>
        <v>2935</v>
      </c>
      <c r="F208" s="10" t="str">
        <f t="shared" si="18"/>
        <v>293</v>
      </c>
      <c r="G208" s="10">
        <f t="shared" si="21"/>
        <v>0</v>
      </c>
      <c r="H208" s="10" t="b">
        <f>IF(ISERROR(VLOOKUP(E208,cuentas_pyme!C:C,1,FALSE)),FALSE,TRUE)</f>
        <v>1</v>
      </c>
      <c r="I208" s="10" t="str">
        <f>VLOOKUP(D208,cuentas_balance!C:I,7,FALSE)</f>
        <v>1.A.1.5</v>
      </c>
      <c r="J208" s="11" t="str">
        <f t="shared" si="19"/>
        <v>1.A.1.5.2935</v>
      </c>
      <c r="K208" s="10" t="str">
        <f t="shared" si="20"/>
        <v>1.A.1.5</v>
      </c>
      <c r="L208" s="10" t="str">
        <f t="shared" si="23"/>
        <v>1.A.1.5</v>
      </c>
      <c r="M208" s="12" t="s">
        <v>2570</v>
      </c>
      <c r="N208" t="s">
        <v>1578</v>
      </c>
      <c r="O208" t="str">
        <f t="shared" si="22"/>
        <v>1.A</v>
      </c>
    </row>
    <row r="209" spans="3:15" x14ac:dyDescent="0.25">
      <c r="C209" s="9">
        <v>250</v>
      </c>
      <c r="D209" s="16">
        <v>2943</v>
      </c>
      <c r="E209" s="10" t="str">
        <f t="shared" ref="E209:E267" si="24">TEXT(D209,0)</f>
        <v>2943</v>
      </c>
      <c r="F209" s="10" t="str">
        <f t="shared" ref="F209:F267" si="25">LEFT(D209,LEN(D209)-1)</f>
        <v>294</v>
      </c>
      <c r="G209" s="10">
        <f t="shared" si="21"/>
        <v>0</v>
      </c>
      <c r="H209" s="10" t="b">
        <f>IF(ISERROR(VLOOKUP(E209,cuentas_pyme!C:C,1,FALSE)),FALSE,TRUE)</f>
        <v>1</v>
      </c>
      <c r="I209" s="10" t="str">
        <f>VLOOKUP(D209,cuentas_balance!C:I,7,FALSE)</f>
        <v>1.A.1.4</v>
      </c>
      <c r="J209" s="11" t="str">
        <f t="shared" ref="J209:J248" si="26">I209&amp;"."&amp;E209</f>
        <v>1.A.1.4.2943</v>
      </c>
      <c r="K209" s="10" t="str">
        <f t="shared" ref="K209:K271" si="27">I209</f>
        <v>1.A.1.4</v>
      </c>
      <c r="L209" s="10" t="str">
        <f t="shared" si="23"/>
        <v>1.A.1.4</v>
      </c>
      <c r="M209" s="12" t="s">
        <v>1752</v>
      </c>
      <c r="N209" t="s">
        <v>1578</v>
      </c>
      <c r="O209" t="str">
        <f t="shared" si="22"/>
        <v>1.A</v>
      </c>
    </row>
    <row r="210" spans="3:15" x14ac:dyDescent="0.25">
      <c r="C210" s="9">
        <v>251</v>
      </c>
      <c r="D210" s="16">
        <v>2944</v>
      </c>
      <c r="E210" s="10" t="str">
        <f t="shared" si="24"/>
        <v>2944</v>
      </c>
      <c r="F210" s="10" t="str">
        <f t="shared" si="25"/>
        <v>294</v>
      </c>
      <c r="G210" s="10">
        <f t="shared" si="21"/>
        <v>0</v>
      </c>
      <c r="H210" s="10" t="b">
        <f>IF(ISERROR(VLOOKUP(E210,cuentas_pyme!C:C,1,FALSE)),FALSE,TRUE)</f>
        <v>1</v>
      </c>
      <c r="I210" s="10" t="str">
        <f>VLOOKUP(D210,cuentas_balance!C:I,7,FALSE)</f>
        <v>1.A.1.4</v>
      </c>
      <c r="J210" s="11" t="str">
        <f t="shared" si="26"/>
        <v>1.A.1.4.2944</v>
      </c>
      <c r="K210" s="10" t="str">
        <f t="shared" si="27"/>
        <v>1.A.1.4</v>
      </c>
      <c r="L210" s="10" t="str">
        <f t="shared" si="23"/>
        <v>1.A.1.4</v>
      </c>
      <c r="M210" s="12" t="s">
        <v>1753</v>
      </c>
      <c r="N210" t="s">
        <v>1578</v>
      </c>
      <c r="O210" t="str">
        <f t="shared" si="22"/>
        <v>1.A</v>
      </c>
    </row>
    <row r="211" spans="3:15" x14ac:dyDescent="0.25">
      <c r="C211" s="9">
        <v>252</v>
      </c>
      <c r="D211" s="16">
        <v>2945</v>
      </c>
      <c r="E211" s="10" t="str">
        <f t="shared" si="24"/>
        <v>2945</v>
      </c>
      <c r="F211" s="10" t="str">
        <f t="shared" si="25"/>
        <v>294</v>
      </c>
      <c r="G211" s="10">
        <f t="shared" si="21"/>
        <v>0</v>
      </c>
      <c r="H211" s="10" t="b">
        <f>IF(ISERROR(VLOOKUP(E211,cuentas_pyme!C:C,1,FALSE)),FALSE,TRUE)</f>
        <v>1</v>
      </c>
      <c r="I211" s="10" t="str">
        <f>VLOOKUP(D211,cuentas_balance!C:I,7,FALSE)</f>
        <v>1.A.1.5</v>
      </c>
      <c r="J211" s="11" t="str">
        <f t="shared" si="26"/>
        <v>1.A.1.5.2945</v>
      </c>
      <c r="K211" s="10" t="str">
        <f t="shared" si="27"/>
        <v>1.A.1.5</v>
      </c>
      <c r="L211" s="10" t="str">
        <f t="shared" si="23"/>
        <v>1.A.1.5</v>
      </c>
      <c r="M211" s="12" t="s">
        <v>1754</v>
      </c>
      <c r="N211" t="s">
        <v>1578</v>
      </c>
      <c r="O211" t="str">
        <f t="shared" si="22"/>
        <v>1.A</v>
      </c>
    </row>
    <row r="212" spans="3:15" x14ac:dyDescent="0.25">
      <c r="C212" s="9">
        <v>254</v>
      </c>
      <c r="D212" s="16">
        <v>2953</v>
      </c>
      <c r="E212" s="10" t="str">
        <f t="shared" si="24"/>
        <v>2953</v>
      </c>
      <c r="F212" s="10" t="str">
        <f t="shared" si="25"/>
        <v>295</v>
      </c>
      <c r="G212" s="10">
        <f t="shared" si="21"/>
        <v>0</v>
      </c>
      <c r="H212" s="10" t="b">
        <f>IF(ISERROR(VLOOKUP(E212,cuentas_pyme!C:C,1,FALSE)),FALSE,TRUE)</f>
        <v>1</v>
      </c>
      <c r="I212" s="10" t="str">
        <f>VLOOKUP(D212,cuentas_balance!C:I,7,FALSE)</f>
        <v>1.A.1.4</v>
      </c>
      <c r="J212" s="11" t="str">
        <f t="shared" si="26"/>
        <v>1.A.1.4.2953</v>
      </c>
      <c r="K212" s="10" t="str">
        <f t="shared" si="27"/>
        <v>1.A.1.4</v>
      </c>
      <c r="L212" s="10" t="str">
        <f t="shared" si="23"/>
        <v>1.A.1.4</v>
      </c>
      <c r="M212" s="12" t="s">
        <v>1755</v>
      </c>
      <c r="N212" t="s">
        <v>1578</v>
      </c>
      <c r="O212" t="str">
        <f t="shared" si="22"/>
        <v>1.A</v>
      </c>
    </row>
    <row r="213" spans="3:15" x14ac:dyDescent="0.25">
      <c r="C213" s="9">
        <v>255</v>
      </c>
      <c r="D213" s="16">
        <v>2954</v>
      </c>
      <c r="E213" s="10" t="str">
        <f t="shared" si="24"/>
        <v>2954</v>
      </c>
      <c r="F213" s="10" t="str">
        <f t="shared" si="25"/>
        <v>295</v>
      </c>
      <c r="G213" s="10">
        <f t="shared" si="21"/>
        <v>0</v>
      </c>
      <c r="H213" s="10" t="b">
        <f>IF(ISERROR(VLOOKUP(E213,cuentas_pyme!C:C,1,FALSE)),FALSE,TRUE)</f>
        <v>1</v>
      </c>
      <c r="I213" s="10" t="str">
        <f>VLOOKUP(D213,cuentas_balance!C:I,7,FALSE)</f>
        <v>1.A.1.5</v>
      </c>
      <c r="J213" s="11" t="str">
        <f t="shared" si="26"/>
        <v>1.A.1.5.2954</v>
      </c>
      <c r="K213" s="10" t="str">
        <f t="shared" si="27"/>
        <v>1.A.1.5</v>
      </c>
      <c r="L213" s="10" t="str">
        <f t="shared" si="23"/>
        <v>1.A.1.5</v>
      </c>
      <c r="M213" s="12" t="s">
        <v>1756</v>
      </c>
      <c r="N213" t="s">
        <v>1578</v>
      </c>
      <c r="O213" t="str">
        <f t="shared" si="22"/>
        <v>1.A</v>
      </c>
    </row>
    <row r="214" spans="3:15" x14ac:dyDescent="0.25">
      <c r="C214" s="9">
        <v>256</v>
      </c>
      <c r="D214" s="16">
        <v>2955</v>
      </c>
      <c r="E214" s="10" t="str">
        <f t="shared" si="24"/>
        <v>2955</v>
      </c>
      <c r="F214" s="10" t="str">
        <f t="shared" si="25"/>
        <v>295</v>
      </c>
      <c r="G214" s="10">
        <f t="shared" si="21"/>
        <v>0</v>
      </c>
      <c r="H214" s="10" t="b">
        <f>IF(ISERROR(VLOOKUP(E214,cuentas_pyme!C:C,1,FALSE)),FALSE,TRUE)</f>
        <v>1</v>
      </c>
      <c r="I214" s="10" t="str">
        <f>VLOOKUP(D214,cuentas_balance!C:I,7,FALSE)</f>
        <v>1.A.1.5</v>
      </c>
      <c r="J214" s="11" t="str">
        <f t="shared" si="26"/>
        <v>1.A.1.5.2955</v>
      </c>
      <c r="K214" s="10" t="str">
        <f t="shared" si="27"/>
        <v>1.A.1.5</v>
      </c>
      <c r="L214" s="10" t="str">
        <f t="shared" si="23"/>
        <v>1.A.1.5</v>
      </c>
      <c r="M214" s="12" t="s">
        <v>1757</v>
      </c>
      <c r="N214" t="s">
        <v>1578</v>
      </c>
      <c r="O214" t="str">
        <f t="shared" si="22"/>
        <v>1.A</v>
      </c>
    </row>
    <row r="215" spans="3:15" x14ac:dyDescent="0.25">
      <c r="C215" s="9">
        <v>257</v>
      </c>
      <c r="D215" s="16">
        <v>296</v>
      </c>
      <c r="E215" s="10" t="str">
        <f t="shared" si="24"/>
        <v>296</v>
      </c>
      <c r="F215" s="10" t="str">
        <f t="shared" si="25"/>
        <v>29</v>
      </c>
      <c r="G215" s="10">
        <f t="shared" si="21"/>
        <v>0</v>
      </c>
      <c r="H215" s="10" t="b">
        <f>IF(ISERROR(VLOOKUP(E215,cuentas_pyme!C:C,1,FALSE)),FALSE,TRUE)</f>
        <v>1</v>
      </c>
      <c r="I215" s="10" t="str">
        <f>VLOOKUP(D215,cuentas_balance!C:I,7,FALSE)</f>
        <v>1.A.1.5</v>
      </c>
      <c r="J215" s="11" t="str">
        <f t="shared" si="26"/>
        <v>1.A.1.5.296</v>
      </c>
      <c r="K215" s="10" t="str">
        <f t="shared" si="27"/>
        <v>1.A.1.5</v>
      </c>
      <c r="L215" s="10" t="str">
        <f t="shared" si="23"/>
        <v>1.A.1.5</v>
      </c>
      <c r="M215" s="12" t="s">
        <v>2571</v>
      </c>
      <c r="N215" t="s">
        <v>1578</v>
      </c>
      <c r="O215" t="str">
        <f t="shared" si="22"/>
        <v>1.A</v>
      </c>
    </row>
    <row r="216" spans="3:15" x14ac:dyDescent="0.25">
      <c r="C216" s="9">
        <v>258</v>
      </c>
      <c r="D216" s="16">
        <v>297</v>
      </c>
      <c r="E216" s="10" t="str">
        <f t="shared" si="24"/>
        <v>297</v>
      </c>
      <c r="F216" s="10" t="str">
        <f t="shared" si="25"/>
        <v>29</v>
      </c>
      <c r="G216" s="10">
        <f t="shared" si="21"/>
        <v>0</v>
      </c>
      <c r="H216" s="10" t="b">
        <f>IF(ISERROR(VLOOKUP(E216,cuentas_pyme!C:C,1,FALSE)),FALSE,TRUE)</f>
        <v>1</v>
      </c>
      <c r="I216" s="10" t="str">
        <f>VLOOKUP(D216,cuentas_balance!C:I,7,FALSE)</f>
        <v>1.A.1.5</v>
      </c>
      <c r="J216" s="11" t="str">
        <f t="shared" si="26"/>
        <v>1.A.1.5.297</v>
      </c>
      <c r="K216" s="10" t="str">
        <f t="shared" si="27"/>
        <v>1.A.1.5</v>
      </c>
      <c r="L216" s="10" t="str">
        <f t="shared" si="23"/>
        <v>1.A.1.5</v>
      </c>
      <c r="M216" s="12" t="s">
        <v>1758</v>
      </c>
      <c r="N216" t="s">
        <v>1578</v>
      </c>
      <c r="O216" t="str">
        <f t="shared" si="22"/>
        <v>1.A</v>
      </c>
    </row>
    <row r="217" spans="3:15" x14ac:dyDescent="0.25">
      <c r="C217" s="9">
        <v>259</v>
      </c>
      <c r="D217" s="16">
        <v>298</v>
      </c>
      <c r="E217" s="10" t="str">
        <f t="shared" si="24"/>
        <v>298</v>
      </c>
      <c r="F217" s="10" t="str">
        <f t="shared" si="25"/>
        <v>29</v>
      </c>
      <c r="G217" s="10">
        <f t="shared" si="21"/>
        <v>0</v>
      </c>
      <c r="H217" s="10" t="b">
        <f>IF(ISERROR(VLOOKUP(E217,cuentas_pyme!C:C,1,FALSE)),FALSE,TRUE)</f>
        <v>1</v>
      </c>
      <c r="I217" s="10" t="str">
        <f>VLOOKUP(D217,cuentas_balance!C:I,7,FALSE)</f>
        <v>1.A.1.5</v>
      </c>
      <c r="J217" s="11" t="str">
        <f t="shared" si="26"/>
        <v>1.A.1.5.298</v>
      </c>
      <c r="K217" s="10" t="str">
        <f t="shared" si="27"/>
        <v>1.A.1.5</v>
      </c>
      <c r="L217" s="10" t="str">
        <f t="shared" si="23"/>
        <v>1.A.1.5</v>
      </c>
      <c r="M217" s="12" t="s">
        <v>1759</v>
      </c>
      <c r="N217" t="s">
        <v>1578</v>
      </c>
      <c r="O217" t="str">
        <f t="shared" si="22"/>
        <v>1.A</v>
      </c>
    </row>
    <row r="218" spans="3:15" x14ac:dyDescent="0.25">
      <c r="C218" s="9">
        <v>261</v>
      </c>
      <c r="D218" s="16">
        <v>30</v>
      </c>
      <c r="E218" s="10" t="str">
        <f t="shared" si="24"/>
        <v>30</v>
      </c>
      <c r="F218" s="10" t="str">
        <f t="shared" si="25"/>
        <v>3</v>
      </c>
      <c r="G218" s="10">
        <f t="shared" si="21"/>
        <v>1</v>
      </c>
      <c r="H218" s="10" t="b">
        <f>IF(ISERROR(VLOOKUP(E218,cuentas_pyme!C:C,1,FALSE)),FALSE,TRUE)</f>
        <v>1</v>
      </c>
      <c r="I218" s="10" t="str">
        <f>VLOOKUP(D218,cuentas_balance!C:I,7,FALSE)</f>
        <v>1.A.2.1</v>
      </c>
      <c r="J218" s="11" t="str">
        <f t="shared" si="26"/>
        <v>1.A.2.1.30</v>
      </c>
      <c r="K218" s="10" t="str">
        <f t="shared" si="27"/>
        <v>1.A.2.1</v>
      </c>
      <c r="L218" s="10" t="str">
        <f t="shared" si="23"/>
        <v>1.A.2.1</v>
      </c>
      <c r="M218" s="12" t="s">
        <v>3073</v>
      </c>
      <c r="N218" t="s">
        <v>1578</v>
      </c>
      <c r="O218" t="str">
        <f t="shared" si="22"/>
        <v>1.A</v>
      </c>
    </row>
    <row r="219" spans="3:15" x14ac:dyDescent="0.25">
      <c r="C219" s="9">
        <v>262</v>
      </c>
      <c r="D219" s="16">
        <v>300</v>
      </c>
      <c r="E219" s="10" t="str">
        <f t="shared" si="24"/>
        <v>300</v>
      </c>
      <c r="F219" s="10" t="str">
        <f t="shared" si="25"/>
        <v>30</v>
      </c>
      <c r="G219" s="10">
        <f t="shared" si="21"/>
        <v>0</v>
      </c>
      <c r="H219" s="10" t="b">
        <f>IF(ISERROR(VLOOKUP(E219,cuentas_pyme!C:C,1,FALSE)),FALSE,TRUE)</f>
        <v>1</v>
      </c>
      <c r="I219" s="10" t="s">
        <v>2752</v>
      </c>
      <c r="J219" s="11" t="s">
        <v>2753</v>
      </c>
      <c r="K219" s="10" t="str">
        <f t="shared" si="27"/>
        <v>1.A.2.1.30</v>
      </c>
      <c r="L219" s="10" t="str">
        <f t="shared" si="23"/>
        <v>1.A.2.1.30</v>
      </c>
      <c r="M219" s="12" t="s">
        <v>1760</v>
      </c>
      <c r="N219" t="s">
        <v>1578</v>
      </c>
      <c r="O219" t="str">
        <f t="shared" si="22"/>
        <v>1.A</v>
      </c>
    </row>
    <row r="220" spans="3:15" x14ac:dyDescent="0.25">
      <c r="C220" s="9">
        <v>263</v>
      </c>
      <c r="D220" s="16">
        <v>301</v>
      </c>
      <c r="E220" s="10" t="str">
        <f t="shared" si="24"/>
        <v>301</v>
      </c>
      <c r="F220" s="10" t="str">
        <f t="shared" si="25"/>
        <v>30</v>
      </c>
      <c r="G220" s="10">
        <f t="shared" si="21"/>
        <v>0</v>
      </c>
      <c r="H220" s="10" t="b">
        <f>IF(ISERROR(VLOOKUP(E220,cuentas_pyme!C:C,1,FALSE)),FALSE,TRUE)</f>
        <v>1</v>
      </c>
      <c r="I220" s="10" t="s">
        <v>2752</v>
      </c>
      <c r="J220" s="11" t="s">
        <v>2754</v>
      </c>
      <c r="K220" s="10" t="str">
        <f t="shared" si="27"/>
        <v>1.A.2.1.30</v>
      </c>
      <c r="L220" s="10" t="str">
        <f t="shared" si="23"/>
        <v>1.A.2.1.30</v>
      </c>
      <c r="M220" s="12" t="s">
        <v>1761</v>
      </c>
      <c r="N220" t="s">
        <v>1578</v>
      </c>
      <c r="O220" t="str">
        <f t="shared" si="22"/>
        <v>1.A</v>
      </c>
    </row>
    <row r="221" spans="3:15" x14ac:dyDescent="0.25">
      <c r="C221" s="9">
        <v>264</v>
      </c>
      <c r="D221" s="16">
        <v>31</v>
      </c>
      <c r="E221" s="10" t="str">
        <f t="shared" si="24"/>
        <v>31</v>
      </c>
      <c r="F221" s="10" t="str">
        <f t="shared" si="25"/>
        <v>3</v>
      </c>
      <c r="G221" s="10">
        <f t="shared" si="21"/>
        <v>1</v>
      </c>
      <c r="H221" s="10" t="b">
        <f>IF(ISERROR(VLOOKUP(E221,cuentas_pyme!C:C,1,FALSE)),FALSE,TRUE)</f>
        <v>1</v>
      </c>
      <c r="I221" s="10" t="str">
        <f>VLOOKUP(D221,cuentas_balance!C:I,7,FALSE)</f>
        <v>1.A.2.1</v>
      </c>
      <c r="J221" s="11" t="str">
        <f t="shared" si="26"/>
        <v>1.A.2.1.31</v>
      </c>
      <c r="K221" s="10" t="str">
        <f t="shared" si="27"/>
        <v>1.A.2.1</v>
      </c>
      <c r="L221" s="10" t="str">
        <f t="shared" si="23"/>
        <v>1.A.2.1</v>
      </c>
      <c r="M221" s="12" t="s">
        <v>3074</v>
      </c>
      <c r="N221" t="s">
        <v>1578</v>
      </c>
      <c r="O221" t="str">
        <f t="shared" si="22"/>
        <v>1.A</v>
      </c>
    </row>
    <row r="222" spans="3:15" x14ac:dyDescent="0.25">
      <c r="C222" s="9">
        <v>265</v>
      </c>
      <c r="D222" s="16">
        <v>310</v>
      </c>
      <c r="E222" s="10" t="str">
        <f t="shared" si="24"/>
        <v>310</v>
      </c>
      <c r="F222" s="10" t="str">
        <f t="shared" si="25"/>
        <v>31</v>
      </c>
      <c r="G222" s="10">
        <f t="shared" si="21"/>
        <v>0</v>
      </c>
      <c r="H222" s="10" t="b">
        <f>IF(ISERROR(VLOOKUP(E222,cuentas_pyme!C:C,1,FALSE)),FALSE,TRUE)</f>
        <v>1</v>
      </c>
      <c r="I222" s="10" t="s">
        <v>2755</v>
      </c>
      <c r="J222" s="11" t="s">
        <v>2756</v>
      </c>
      <c r="K222" s="10" t="str">
        <f t="shared" si="27"/>
        <v>1.A.2.1.31</v>
      </c>
      <c r="L222" s="10" t="str">
        <f t="shared" si="23"/>
        <v>1.A.2.1.31</v>
      </c>
      <c r="M222" s="12" t="s">
        <v>1762</v>
      </c>
      <c r="N222" t="s">
        <v>1578</v>
      </c>
      <c r="O222" t="str">
        <f t="shared" si="22"/>
        <v>1.A</v>
      </c>
    </row>
    <row r="223" spans="3:15" x14ac:dyDescent="0.25">
      <c r="C223" s="9">
        <v>266</v>
      </c>
      <c r="D223" s="16">
        <v>311</v>
      </c>
      <c r="E223" s="10" t="str">
        <f t="shared" si="24"/>
        <v>311</v>
      </c>
      <c r="F223" s="10" t="str">
        <f t="shared" si="25"/>
        <v>31</v>
      </c>
      <c r="G223" s="10">
        <f t="shared" si="21"/>
        <v>0</v>
      </c>
      <c r="H223" s="10" t="b">
        <f>IF(ISERROR(VLOOKUP(E223,cuentas_pyme!C:C,1,FALSE)),FALSE,TRUE)</f>
        <v>1</v>
      </c>
      <c r="I223" s="10" t="s">
        <v>2755</v>
      </c>
      <c r="J223" s="11" t="s">
        <v>2757</v>
      </c>
      <c r="K223" s="10" t="str">
        <f t="shared" si="27"/>
        <v>1.A.2.1.31</v>
      </c>
      <c r="L223" s="10" t="str">
        <f t="shared" si="23"/>
        <v>1.A.2.1.31</v>
      </c>
      <c r="M223" s="12" t="s">
        <v>1763</v>
      </c>
      <c r="N223" t="s">
        <v>1578</v>
      </c>
      <c r="O223" t="str">
        <f t="shared" si="22"/>
        <v>1.A</v>
      </c>
    </row>
    <row r="224" spans="3:15" x14ac:dyDescent="0.25">
      <c r="C224" s="9">
        <v>267</v>
      </c>
      <c r="D224" s="16">
        <v>32</v>
      </c>
      <c r="E224" s="10" t="str">
        <f t="shared" si="24"/>
        <v>32</v>
      </c>
      <c r="F224" s="10" t="str">
        <f t="shared" si="25"/>
        <v>3</v>
      </c>
      <c r="G224" s="10">
        <f t="shared" si="21"/>
        <v>1</v>
      </c>
      <c r="H224" s="10" t="b">
        <f>IF(ISERROR(VLOOKUP(E224,cuentas_pyme!C:C,1,FALSE)),FALSE,TRUE)</f>
        <v>1</v>
      </c>
      <c r="I224" s="10" t="str">
        <f>VLOOKUP(D224,cuentas_balance!C:I,7,FALSE)</f>
        <v>1.A.2.1</v>
      </c>
      <c r="J224" s="11" t="str">
        <f t="shared" si="26"/>
        <v>1.A.2.1.32</v>
      </c>
      <c r="K224" s="10" t="str">
        <f t="shared" si="27"/>
        <v>1.A.2.1</v>
      </c>
      <c r="L224" s="10" t="str">
        <f t="shared" si="23"/>
        <v>1.A.2.1</v>
      </c>
      <c r="M224" s="12" t="s">
        <v>3075</v>
      </c>
      <c r="N224" t="s">
        <v>1578</v>
      </c>
      <c r="O224" t="str">
        <f t="shared" si="22"/>
        <v>1.A</v>
      </c>
    </row>
    <row r="225" spans="3:15" x14ac:dyDescent="0.25">
      <c r="C225" s="9">
        <v>268</v>
      </c>
      <c r="D225" s="16">
        <v>320</v>
      </c>
      <c r="E225" s="10" t="str">
        <f t="shared" si="24"/>
        <v>320</v>
      </c>
      <c r="F225" s="10" t="str">
        <f t="shared" si="25"/>
        <v>32</v>
      </c>
      <c r="G225" s="10">
        <f t="shared" si="21"/>
        <v>0</v>
      </c>
      <c r="H225" s="10" t="b">
        <f>IF(ISERROR(VLOOKUP(E225,cuentas_pyme!C:C,1,FALSE)),FALSE,TRUE)</f>
        <v>1</v>
      </c>
      <c r="I225" s="10" t="s">
        <v>2758</v>
      </c>
      <c r="J225" s="11" t="s">
        <v>2759</v>
      </c>
      <c r="K225" s="10" t="str">
        <f t="shared" si="27"/>
        <v>1.A.2.1.32</v>
      </c>
      <c r="L225" s="10" t="str">
        <f t="shared" si="23"/>
        <v>1.A.2.1.32</v>
      </c>
      <c r="M225" s="12" t="s">
        <v>1764</v>
      </c>
      <c r="N225" t="s">
        <v>1578</v>
      </c>
      <c r="O225" t="str">
        <f t="shared" si="22"/>
        <v>1.A</v>
      </c>
    </row>
    <row r="226" spans="3:15" x14ac:dyDescent="0.25">
      <c r="C226" s="9">
        <v>269</v>
      </c>
      <c r="D226" s="16">
        <v>321</v>
      </c>
      <c r="E226" s="10" t="str">
        <f t="shared" si="24"/>
        <v>321</v>
      </c>
      <c r="F226" s="10" t="str">
        <f t="shared" si="25"/>
        <v>32</v>
      </c>
      <c r="G226" s="10">
        <f t="shared" si="21"/>
        <v>0</v>
      </c>
      <c r="H226" s="10" t="b">
        <f>IF(ISERROR(VLOOKUP(E226,cuentas_pyme!C:C,1,FALSE)),FALSE,TRUE)</f>
        <v>1</v>
      </c>
      <c r="I226" s="10" t="s">
        <v>2758</v>
      </c>
      <c r="J226" s="11" t="s">
        <v>2760</v>
      </c>
      <c r="K226" s="10" t="str">
        <f t="shared" si="27"/>
        <v>1.A.2.1.32</v>
      </c>
      <c r="L226" s="10" t="str">
        <f t="shared" si="23"/>
        <v>1.A.2.1.32</v>
      </c>
      <c r="M226" s="12" t="s">
        <v>1765</v>
      </c>
      <c r="N226" t="s">
        <v>1578</v>
      </c>
      <c r="O226" t="str">
        <f t="shared" si="22"/>
        <v>1.A</v>
      </c>
    </row>
    <row r="227" spans="3:15" x14ac:dyDescent="0.25">
      <c r="C227" s="9">
        <v>270</v>
      </c>
      <c r="D227" s="16">
        <v>322</v>
      </c>
      <c r="E227" s="10" t="str">
        <f t="shared" si="24"/>
        <v>322</v>
      </c>
      <c r="F227" s="10" t="str">
        <f t="shared" si="25"/>
        <v>32</v>
      </c>
      <c r="G227" s="10">
        <f t="shared" si="21"/>
        <v>0</v>
      </c>
      <c r="H227" s="10" t="b">
        <f>IF(ISERROR(VLOOKUP(E227,cuentas_pyme!C:C,1,FALSE)),FALSE,TRUE)</f>
        <v>1</v>
      </c>
      <c r="I227" s="10" t="s">
        <v>2758</v>
      </c>
      <c r="J227" s="11" t="s">
        <v>2761</v>
      </c>
      <c r="K227" s="10" t="str">
        <f t="shared" si="27"/>
        <v>1.A.2.1.32</v>
      </c>
      <c r="L227" s="10" t="str">
        <f t="shared" si="23"/>
        <v>1.A.2.1.32</v>
      </c>
      <c r="M227" s="12" t="s">
        <v>1766</v>
      </c>
      <c r="N227" t="s">
        <v>1578</v>
      </c>
      <c r="O227" t="str">
        <f t="shared" si="22"/>
        <v>1.A</v>
      </c>
    </row>
    <row r="228" spans="3:15" x14ac:dyDescent="0.25">
      <c r="C228" s="9">
        <v>271</v>
      </c>
      <c r="D228" s="16">
        <v>325</v>
      </c>
      <c r="E228" s="10" t="str">
        <f t="shared" si="24"/>
        <v>325</v>
      </c>
      <c r="F228" s="10" t="str">
        <f t="shared" si="25"/>
        <v>32</v>
      </c>
      <c r="G228" s="10">
        <f t="shared" si="21"/>
        <v>0</v>
      </c>
      <c r="H228" s="10" t="b">
        <f>IF(ISERROR(VLOOKUP(E228,cuentas_pyme!C:C,1,FALSE)),FALSE,TRUE)</f>
        <v>1</v>
      </c>
      <c r="I228" s="10" t="s">
        <v>2758</v>
      </c>
      <c r="J228" s="11" t="s">
        <v>2762</v>
      </c>
      <c r="K228" s="10" t="str">
        <f t="shared" si="27"/>
        <v>1.A.2.1.32</v>
      </c>
      <c r="L228" s="10" t="str">
        <f t="shared" si="23"/>
        <v>1.A.2.1.32</v>
      </c>
      <c r="M228" s="12" t="s">
        <v>1767</v>
      </c>
      <c r="N228" t="s">
        <v>1578</v>
      </c>
      <c r="O228" t="str">
        <f t="shared" si="22"/>
        <v>1.A</v>
      </c>
    </row>
    <row r="229" spans="3:15" x14ac:dyDescent="0.25">
      <c r="C229" s="9">
        <v>272</v>
      </c>
      <c r="D229" s="16">
        <v>326</v>
      </c>
      <c r="E229" s="10" t="str">
        <f t="shared" si="24"/>
        <v>326</v>
      </c>
      <c r="F229" s="10" t="str">
        <f t="shared" si="25"/>
        <v>32</v>
      </c>
      <c r="G229" s="10">
        <f t="shared" si="21"/>
        <v>0</v>
      </c>
      <c r="H229" s="10" t="b">
        <f>IF(ISERROR(VLOOKUP(E229,cuentas_pyme!C:C,1,FALSE)),FALSE,TRUE)</f>
        <v>1</v>
      </c>
      <c r="I229" s="10" t="s">
        <v>2758</v>
      </c>
      <c r="J229" s="11" t="s">
        <v>2763</v>
      </c>
      <c r="K229" s="10" t="str">
        <f t="shared" si="27"/>
        <v>1.A.2.1.32</v>
      </c>
      <c r="L229" s="10" t="str">
        <f t="shared" si="23"/>
        <v>1.A.2.1.32</v>
      </c>
      <c r="M229" s="12" t="s">
        <v>1768</v>
      </c>
      <c r="N229" t="s">
        <v>1578</v>
      </c>
      <c r="O229" t="str">
        <f t="shared" si="22"/>
        <v>1.A</v>
      </c>
    </row>
    <row r="230" spans="3:15" x14ac:dyDescent="0.25">
      <c r="C230" s="9">
        <v>273</v>
      </c>
      <c r="D230" s="16">
        <v>327</v>
      </c>
      <c r="E230" s="10" t="str">
        <f t="shared" si="24"/>
        <v>327</v>
      </c>
      <c r="F230" s="10" t="str">
        <f t="shared" si="25"/>
        <v>32</v>
      </c>
      <c r="G230" s="10">
        <f t="shared" si="21"/>
        <v>0</v>
      </c>
      <c r="H230" s="10" t="b">
        <f>IF(ISERROR(VLOOKUP(E230,cuentas_pyme!C:C,1,FALSE)),FALSE,TRUE)</f>
        <v>1</v>
      </c>
      <c r="I230" s="10" t="s">
        <v>2758</v>
      </c>
      <c r="J230" s="11" t="s">
        <v>2764</v>
      </c>
      <c r="K230" s="10" t="str">
        <f t="shared" si="27"/>
        <v>1.A.2.1.32</v>
      </c>
      <c r="L230" s="10" t="str">
        <f t="shared" si="23"/>
        <v>1.A.2.1.32</v>
      </c>
      <c r="M230" s="12" t="s">
        <v>1769</v>
      </c>
      <c r="N230" t="s">
        <v>1578</v>
      </c>
      <c r="O230" t="str">
        <f t="shared" si="22"/>
        <v>1.A</v>
      </c>
    </row>
    <row r="231" spans="3:15" x14ac:dyDescent="0.25">
      <c r="C231" s="9">
        <v>274</v>
      </c>
      <c r="D231" s="16">
        <v>328</v>
      </c>
      <c r="E231" s="10" t="str">
        <f t="shared" si="24"/>
        <v>328</v>
      </c>
      <c r="F231" s="10" t="str">
        <f t="shared" si="25"/>
        <v>32</v>
      </c>
      <c r="G231" s="10">
        <f t="shared" si="21"/>
        <v>0</v>
      </c>
      <c r="H231" s="10" t="b">
        <f>IF(ISERROR(VLOOKUP(E231,cuentas_pyme!C:C,1,FALSE)),FALSE,TRUE)</f>
        <v>1</v>
      </c>
      <c r="I231" s="10" t="s">
        <v>2758</v>
      </c>
      <c r="J231" s="11" t="s">
        <v>2765</v>
      </c>
      <c r="K231" s="10" t="str">
        <f t="shared" si="27"/>
        <v>1.A.2.1.32</v>
      </c>
      <c r="L231" s="10" t="str">
        <f t="shared" si="23"/>
        <v>1.A.2.1.32</v>
      </c>
      <c r="M231" s="12" t="s">
        <v>1770</v>
      </c>
      <c r="N231" t="s">
        <v>1578</v>
      </c>
      <c r="O231" t="str">
        <f t="shared" si="22"/>
        <v>1.A</v>
      </c>
    </row>
    <row r="232" spans="3:15" x14ac:dyDescent="0.25">
      <c r="C232" s="9">
        <v>275</v>
      </c>
      <c r="D232" s="16">
        <v>33</v>
      </c>
      <c r="E232" s="10" t="str">
        <f t="shared" si="24"/>
        <v>33</v>
      </c>
      <c r="F232" s="10" t="str">
        <f t="shared" si="25"/>
        <v>3</v>
      </c>
      <c r="G232" s="10">
        <f t="shared" si="21"/>
        <v>1</v>
      </c>
      <c r="H232" s="10" t="b">
        <f>IF(ISERROR(VLOOKUP(E232,cuentas_pyme!C:C,1,FALSE)),FALSE,TRUE)</f>
        <v>1</v>
      </c>
      <c r="I232" s="10" t="str">
        <f>VLOOKUP(D232,cuentas_balance!C:I,7,FALSE)</f>
        <v>1.A.2.1</v>
      </c>
      <c r="J232" s="11" t="str">
        <f t="shared" si="26"/>
        <v>1.A.2.1.33</v>
      </c>
      <c r="K232" s="10" t="str">
        <f t="shared" si="27"/>
        <v>1.A.2.1</v>
      </c>
      <c r="L232" s="10" t="str">
        <f t="shared" si="23"/>
        <v>1.A.2.1</v>
      </c>
      <c r="M232" s="12" t="s">
        <v>3076</v>
      </c>
      <c r="N232" t="s">
        <v>1578</v>
      </c>
      <c r="O232" t="str">
        <f t="shared" si="22"/>
        <v>1.A</v>
      </c>
    </row>
    <row r="233" spans="3:15" x14ac:dyDescent="0.25">
      <c r="C233" s="9">
        <v>276</v>
      </c>
      <c r="D233" s="16">
        <v>330</v>
      </c>
      <c r="E233" s="10" t="str">
        <f t="shared" si="24"/>
        <v>330</v>
      </c>
      <c r="F233" s="10" t="str">
        <f t="shared" si="25"/>
        <v>33</v>
      </c>
      <c r="G233" s="10">
        <f t="shared" si="21"/>
        <v>0</v>
      </c>
      <c r="H233" s="10" t="b">
        <f>IF(ISERROR(VLOOKUP(E233,cuentas_pyme!C:C,1,FALSE)),FALSE,TRUE)</f>
        <v>1</v>
      </c>
      <c r="I233" s="10" t="s">
        <v>2766</v>
      </c>
      <c r="J233" s="11" t="s">
        <v>2767</v>
      </c>
      <c r="K233" s="10" t="str">
        <f t="shared" si="27"/>
        <v>1.A.2.1.33</v>
      </c>
      <c r="L233" s="10" t="str">
        <f t="shared" si="23"/>
        <v>1.A.2.1.33</v>
      </c>
      <c r="M233" s="12" t="s">
        <v>1771</v>
      </c>
      <c r="N233" t="s">
        <v>1578</v>
      </c>
      <c r="O233" t="str">
        <f t="shared" si="22"/>
        <v>1.A</v>
      </c>
    </row>
    <row r="234" spans="3:15" x14ac:dyDescent="0.25">
      <c r="C234" s="9">
        <v>277</v>
      </c>
      <c r="D234" s="16">
        <v>331</v>
      </c>
      <c r="E234" s="10" t="str">
        <f t="shared" si="24"/>
        <v>331</v>
      </c>
      <c r="F234" s="10" t="str">
        <f t="shared" si="25"/>
        <v>33</v>
      </c>
      <c r="G234" s="10">
        <f t="shared" si="21"/>
        <v>0</v>
      </c>
      <c r="H234" s="10" t="b">
        <f>IF(ISERROR(VLOOKUP(E234,cuentas_pyme!C:C,1,FALSE)),FALSE,TRUE)</f>
        <v>1</v>
      </c>
      <c r="I234" s="10" t="s">
        <v>2766</v>
      </c>
      <c r="J234" s="11" t="s">
        <v>2768</v>
      </c>
      <c r="K234" s="10" t="str">
        <f t="shared" si="27"/>
        <v>1.A.2.1.33</v>
      </c>
      <c r="L234" s="10" t="str">
        <f t="shared" si="23"/>
        <v>1.A.2.1.33</v>
      </c>
      <c r="M234" s="12" t="s">
        <v>1772</v>
      </c>
      <c r="N234" t="s">
        <v>1578</v>
      </c>
      <c r="O234" t="str">
        <f t="shared" si="22"/>
        <v>1.A</v>
      </c>
    </row>
    <row r="235" spans="3:15" x14ac:dyDescent="0.25">
      <c r="C235" s="9">
        <v>278</v>
      </c>
      <c r="D235" s="16">
        <v>34</v>
      </c>
      <c r="E235" s="10" t="str">
        <f t="shared" si="24"/>
        <v>34</v>
      </c>
      <c r="F235" s="10" t="str">
        <f t="shared" si="25"/>
        <v>3</v>
      </c>
      <c r="G235" s="10">
        <f t="shared" si="21"/>
        <v>1</v>
      </c>
      <c r="H235" s="10" t="b">
        <f>IF(ISERROR(VLOOKUP(E235,cuentas_pyme!C:C,1,FALSE)),FALSE,TRUE)</f>
        <v>1</v>
      </c>
      <c r="I235" s="10" t="str">
        <f>VLOOKUP(D235,cuentas_balance!C:I,7,FALSE)</f>
        <v>1.A.2.1</v>
      </c>
      <c r="J235" s="11" t="str">
        <f t="shared" si="26"/>
        <v>1.A.2.1.34</v>
      </c>
      <c r="K235" s="10" t="str">
        <f t="shared" si="27"/>
        <v>1.A.2.1</v>
      </c>
      <c r="L235" s="10" t="str">
        <f t="shared" si="23"/>
        <v>1.A.2.1</v>
      </c>
      <c r="M235" s="12" t="s">
        <v>3077</v>
      </c>
      <c r="N235" t="s">
        <v>1578</v>
      </c>
      <c r="O235" t="str">
        <f t="shared" si="22"/>
        <v>1.A</v>
      </c>
    </row>
    <row r="236" spans="3:15" x14ac:dyDescent="0.25">
      <c r="C236" s="9">
        <v>279</v>
      </c>
      <c r="D236" s="16">
        <v>340</v>
      </c>
      <c r="E236" s="10" t="str">
        <f t="shared" si="24"/>
        <v>340</v>
      </c>
      <c r="F236" s="10" t="str">
        <f t="shared" si="25"/>
        <v>34</v>
      </c>
      <c r="G236" s="10">
        <f t="shared" si="21"/>
        <v>0</v>
      </c>
      <c r="H236" s="10" t="b">
        <f>IF(ISERROR(VLOOKUP(E236,cuentas_pyme!C:C,1,FALSE)),FALSE,TRUE)</f>
        <v>1</v>
      </c>
      <c r="I236" s="10" t="s">
        <v>2769</v>
      </c>
      <c r="J236" s="11" t="s">
        <v>2770</v>
      </c>
      <c r="K236" s="10" t="str">
        <f t="shared" si="27"/>
        <v>1.A.2.1.34</v>
      </c>
      <c r="L236" s="10" t="str">
        <f t="shared" si="23"/>
        <v>1.A.2.1.34</v>
      </c>
      <c r="M236" s="12" t="s">
        <v>1773</v>
      </c>
      <c r="N236" t="s">
        <v>1578</v>
      </c>
      <c r="O236" t="str">
        <f t="shared" si="22"/>
        <v>1.A</v>
      </c>
    </row>
    <row r="237" spans="3:15" x14ac:dyDescent="0.25">
      <c r="C237" s="9">
        <v>280</v>
      </c>
      <c r="D237" s="16">
        <v>341</v>
      </c>
      <c r="E237" s="10" t="str">
        <f t="shared" si="24"/>
        <v>341</v>
      </c>
      <c r="F237" s="10" t="str">
        <f t="shared" si="25"/>
        <v>34</v>
      </c>
      <c r="G237" s="10">
        <f t="shared" si="21"/>
        <v>0</v>
      </c>
      <c r="H237" s="10" t="b">
        <f>IF(ISERROR(VLOOKUP(E237,cuentas_pyme!C:C,1,FALSE)),FALSE,TRUE)</f>
        <v>1</v>
      </c>
      <c r="I237" s="10" t="s">
        <v>2769</v>
      </c>
      <c r="J237" s="11" t="s">
        <v>2771</v>
      </c>
      <c r="K237" s="10" t="str">
        <f t="shared" si="27"/>
        <v>1.A.2.1.34</v>
      </c>
      <c r="L237" s="10" t="str">
        <f t="shared" si="23"/>
        <v>1.A.2.1.34</v>
      </c>
      <c r="M237" s="12" t="s">
        <v>1774</v>
      </c>
      <c r="N237" t="s">
        <v>1578</v>
      </c>
      <c r="O237" t="str">
        <f t="shared" si="22"/>
        <v>1.A</v>
      </c>
    </row>
    <row r="238" spans="3:15" x14ac:dyDescent="0.25">
      <c r="C238" s="9">
        <v>281</v>
      </c>
      <c r="D238" s="16">
        <v>35</v>
      </c>
      <c r="E238" s="10" t="str">
        <f t="shared" si="24"/>
        <v>35</v>
      </c>
      <c r="F238" s="10" t="str">
        <f t="shared" si="25"/>
        <v>3</v>
      </c>
      <c r="G238" s="10">
        <f t="shared" si="21"/>
        <v>1</v>
      </c>
      <c r="H238" s="10" t="b">
        <f>IF(ISERROR(VLOOKUP(E238,cuentas_pyme!C:C,1,FALSE)),FALSE,TRUE)</f>
        <v>1</v>
      </c>
      <c r="I238" s="10" t="str">
        <f>VLOOKUP(D238,cuentas_balance!C:I,7,FALSE)</f>
        <v>1.A.2.1</v>
      </c>
      <c r="J238" s="11" t="str">
        <f t="shared" si="26"/>
        <v>1.A.2.1.35</v>
      </c>
      <c r="K238" s="10" t="str">
        <f t="shared" si="27"/>
        <v>1.A.2.1</v>
      </c>
      <c r="L238" s="10" t="str">
        <f t="shared" si="23"/>
        <v>1.A.2.1</v>
      </c>
      <c r="M238" s="12" t="s">
        <v>3078</v>
      </c>
      <c r="N238" t="s">
        <v>1578</v>
      </c>
      <c r="O238" t="str">
        <f t="shared" si="22"/>
        <v>1.A</v>
      </c>
    </row>
    <row r="239" spans="3:15" x14ac:dyDescent="0.25">
      <c r="C239" s="9">
        <v>282</v>
      </c>
      <c r="D239" s="16">
        <v>350</v>
      </c>
      <c r="E239" s="10" t="str">
        <f t="shared" si="24"/>
        <v>350</v>
      </c>
      <c r="F239" s="10" t="str">
        <f t="shared" si="25"/>
        <v>35</v>
      </c>
      <c r="G239" s="10">
        <f t="shared" si="21"/>
        <v>0</v>
      </c>
      <c r="H239" s="10" t="b">
        <f>IF(ISERROR(VLOOKUP(E239,cuentas_pyme!C:C,1,FALSE)),FALSE,TRUE)</f>
        <v>1</v>
      </c>
      <c r="I239" s="10" t="s">
        <v>2772</v>
      </c>
      <c r="J239" s="11" t="s">
        <v>2773</v>
      </c>
      <c r="K239" s="10" t="str">
        <f t="shared" si="27"/>
        <v>1.A.2.1.35</v>
      </c>
      <c r="L239" s="10" t="str">
        <f t="shared" si="23"/>
        <v>1.A.2.1.35</v>
      </c>
      <c r="M239" s="12" t="s">
        <v>1775</v>
      </c>
      <c r="N239" t="s">
        <v>1578</v>
      </c>
      <c r="O239" t="str">
        <f t="shared" si="22"/>
        <v>1.A</v>
      </c>
    </row>
    <row r="240" spans="3:15" x14ac:dyDescent="0.25">
      <c r="C240" s="9">
        <v>283</v>
      </c>
      <c r="D240" s="16">
        <v>351</v>
      </c>
      <c r="E240" s="10" t="str">
        <f t="shared" si="24"/>
        <v>351</v>
      </c>
      <c r="F240" s="10" t="str">
        <f t="shared" si="25"/>
        <v>35</v>
      </c>
      <c r="G240" s="10">
        <f t="shared" si="21"/>
        <v>0</v>
      </c>
      <c r="H240" s="10" t="b">
        <f>IF(ISERROR(VLOOKUP(E240,cuentas_pyme!C:C,1,FALSE)),FALSE,TRUE)</f>
        <v>1</v>
      </c>
      <c r="I240" s="10" t="s">
        <v>2772</v>
      </c>
      <c r="J240" s="11" t="s">
        <v>2774</v>
      </c>
      <c r="K240" s="10" t="str">
        <f t="shared" si="27"/>
        <v>1.A.2.1.35</v>
      </c>
      <c r="L240" s="10" t="str">
        <f t="shared" si="23"/>
        <v>1.A.2.1.35</v>
      </c>
      <c r="M240" s="12" t="s">
        <v>1776</v>
      </c>
      <c r="N240" t="s">
        <v>1578</v>
      </c>
      <c r="O240" t="str">
        <f t="shared" si="22"/>
        <v>1.A</v>
      </c>
    </row>
    <row r="241" spans="3:15" x14ac:dyDescent="0.25">
      <c r="C241" s="9">
        <v>284</v>
      </c>
      <c r="D241" s="16">
        <v>36</v>
      </c>
      <c r="E241" s="10" t="str">
        <f t="shared" si="24"/>
        <v>36</v>
      </c>
      <c r="F241" s="10" t="str">
        <f t="shared" si="25"/>
        <v>3</v>
      </c>
      <c r="G241" s="10">
        <f t="shared" si="21"/>
        <v>1</v>
      </c>
      <c r="H241" s="10" t="b">
        <f>IF(ISERROR(VLOOKUP(E241,cuentas_pyme!C:C,1,FALSE)),FALSE,TRUE)</f>
        <v>1</v>
      </c>
      <c r="I241" s="10" t="str">
        <f>VLOOKUP(D241,cuentas_balance!C:I,7,FALSE)</f>
        <v>1.A.2.1</v>
      </c>
      <c r="J241" s="11" t="str">
        <f t="shared" si="26"/>
        <v>1.A.2.1.36</v>
      </c>
      <c r="K241" s="10" t="str">
        <f t="shared" si="27"/>
        <v>1.A.2.1</v>
      </c>
      <c r="L241" s="10" t="str">
        <f t="shared" si="23"/>
        <v>1.A.2.1</v>
      </c>
      <c r="M241" s="12" t="s">
        <v>3060</v>
      </c>
      <c r="N241" t="s">
        <v>1578</v>
      </c>
      <c r="O241" t="str">
        <f t="shared" si="22"/>
        <v>1.A</v>
      </c>
    </row>
    <row r="242" spans="3:15" x14ac:dyDescent="0.25">
      <c r="C242" s="9">
        <v>285</v>
      </c>
      <c r="D242" s="16">
        <v>360</v>
      </c>
      <c r="E242" s="10" t="str">
        <f t="shared" si="24"/>
        <v>360</v>
      </c>
      <c r="F242" s="10" t="str">
        <f t="shared" si="25"/>
        <v>36</v>
      </c>
      <c r="G242" s="10">
        <f t="shared" si="21"/>
        <v>0</v>
      </c>
      <c r="H242" s="10" t="b">
        <f>IF(ISERROR(VLOOKUP(E242,cuentas_pyme!C:C,1,FALSE)),FALSE,TRUE)</f>
        <v>1</v>
      </c>
      <c r="I242" s="10" t="s">
        <v>2775</v>
      </c>
      <c r="J242" s="11" t="s">
        <v>2776</v>
      </c>
      <c r="K242" s="10" t="str">
        <f t="shared" si="27"/>
        <v>1.A.2.1.36</v>
      </c>
      <c r="L242" s="10" t="str">
        <f t="shared" si="23"/>
        <v>1.A.2.1.36</v>
      </c>
      <c r="M242" s="12" t="s">
        <v>1777</v>
      </c>
      <c r="N242" t="s">
        <v>1578</v>
      </c>
      <c r="O242" t="str">
        <f t="shared" si="22"/>
        <v>1.A</v>
      </c>
    </row>
    <row r="243" spans="3:15" x14ac:dyDescent="0.25">
      <c r="C243" s="9">
        <v>286</v>
      </c>
      <c r="D243" s="16">
        <v>361</v>
      </c>
      <c r="E243" s="10" t="str">
        <f t="shared" si="24"/>
        <v>361</v>
      </c>
      <c r="F243" s="10" t="str">
        <f t="shared" si="25"/>
        <v>36</v>
      </c>
      <c r="G243" s="10">
        <f t="shared" si="21"/>
        <v>0</v>
      </c>
      <c r="H243" s="10" t="b">
        <f>IF(ISERROR(VLOOKUP(E243,cuentas_pyme!C:C,1,FALSE)),FALSE,TRUE)</f>
        <v>1</v>
      </c>
      <c r="I243" s="10" t="s">
        <v>2775</v>
      </c>
      <c r="J243" s="11" t="s">
        <v>2777</v>
      </c>
      <c r="K243" s="10" t="str">
        <f t="shared" si="27"/>
        <v>1.A.2.1.36</v>
      </c>
      <c r="L243" s="10" t="str">
        <f t="shared" si="23"/>
        <v>1.A.2.1.36</v>
      </c>
      <c r="M243" s="12" t="s">
        <v>1778</v>
      </c>
      <c r="N243" t="s">
        <v>1578</v>
      </c>
      <c r="O243" t="str">
        <f t="shared" si="22"/>
        <v>1.A</v>
      </c>
    </row>
    <row r="244" spans="3:15" x14ac:dyDescent="0.25">
      <c r="C244" s="9">
        <v>287</v>
      </c>
      <c r="D244" s="16">
        <v>365</v>
      </c>
      <c r="E244" s="10" t="str">
        <f t="shared" si="24"/>
        <v>365</v>
      </c>
      <c r="F244" s="10" t="str">
        <f t="shared" si="25"/>
        <v>36</v>
      </c>
      <c r="G244" s="10">
        <f t="shared" si="21"/>
        <v>0</v>
      </c>
      <c r="H244" s="10" t="b">
        <f>IF(ISERROR(VLOOKUP(E244,cuentas_pyme!C:C,1,FALSE)),FALSE,TRUE)</f>
        <v>1</v>
      </c>
      <c r="I244" s="10" t="s">
        <v>2775</v>
      </c>
      <c r="J244" s="11" t="s">
        <v>2778</v>
      </c>
      <c r="K244" s="10" t="str">
        <f t="shared" si="27"/>
        <v>1.A.2.1.36</v>
      </c>
      <c r="L244" s="10" t="str">
        <f t="shared" si="23"/>
        <v>1.A.2.1.36</v>
      </c>
      <c r="M244" s="12" t="s">
        <v>1779</v>
      </c>
      <c r="N244" t="s">
        <v>1578</v>
      </c>
      <c r="O244" t="str">
        <f t="shared" si="22"/>
        <v>1.A</v>
      </c>
    </row>
    <row r="245" spans="3:15" x14ac:dyDescent="0.25">
      <c r="C245" s="9">
        <v>288</v>
      </c>
      <c r="D245" s="16">
        <v>366</v>
      </c>
      <c r="E245" s="10" t="str">
        <f t="shared" si="24"/>
        <v>366</v>
      </c>
      <c r="F245" s="10" t="str">
        <f t="shared" si="25"/>
        <v>36</v>
      </c>
      <c r="G245" s="10">
        <f t="shared" si="21"/>
        <v>0</v>
      </c>
      <c r="H245" s="10" t="b">
        <f>IF(ISERROR(VLOOKUP(E245,cuentas_pyme!C:C,1,FALSE)),FALSE,TRUE)</f>
        <v>1</v>
      </c>
      <c r="I245" s="10" t="s">
        <v>2775</v>
      </c>
      <c r="J245" s="11" t="s">
        <v>2779</v>
      </c>
      <c r="K245" s="10" t="str">
        <f t="shared" si="27"/>
        <v>1.A.2.1.36</v>
      </c>
      <c r="L245" s="10" t="str">
        <f t="shared" si="23"/>
        <v>1.A.2.1.36</v>
      </c>
      <c r="M245" s="12" t="s">
        <v>1780</v>
      </c>
      <c r="N245" t="s">
        <v>1578</v>
      </c>
      <c r="O245" t="str">
        <f t="shared" si="22"/>
        <v>1.A</v>
      </c>
    </row>
    <row r="246" spans="3:15" x14ac:dyDescent="0.25">
      <c r="C246" s="9">
        <v>289</v>
      </c>
      <c r="D246" s="16">
        <v>368</v>
      </c>
      <c r="E246" s="10" t="str">
        <f t="shared" si="24"/>
        <v>368</v>
      </c>
      <c r="F246" s="10" t="str">
        <f t="shared" si="25"/>
        <v>36</v>
      </c>
      <c r="G246" s="10">
        <f t="shared" si="21"/>
        <v>0</v>
      </c>
      <c r="H246" s="10" t="b">
        <f>IF(ISERROR(VLOOKUP(E246,cuentas_pyme!C:C,1,FALSE)),FALSE,TRUE)</f>
        <v>1</v>
      </c>
      <c r="I246" s="10" t="s">
        <v>2775</v>
      </c>
      <c r="J246" s="11" t="s">
        <v>2780</v>
      </c>
      <c r="K246" s="10" t="str">
        <f t="shared" si="27"/>
        <v>1.A.2.1.36</v>
      </c>
      <c r="L246" s="10" t="str">
        <f t="shared" si="23"/>
        <v>1.A.2.1.36</v>
      </c>
      <c r="M246" s="12" t="s">
        <v>1781</v>
      </c>
      <c r="N246" t="s">
        <v>1578</v>
      </c>
      <c r="O246" t="str">
        <f t="shared" si="22"/>
        <v>1.A</v>
      </c>
    </row>
    <row r="247" spans="3:15" x14ac:dyDescent="0.25">
      <c r="C247" s="9">
        <v>290</v>
      </c>
      <c r="D247" s="16">
        <v>369</v>
      </c>
      <c r="E247" s="10" t="str">
        <f t="shared" si="24"/>
        <v>369</v>
      </c>
      <c r="F247" s="10" t="str">
        <f t="shared" si="25"/>
        <v>36</v>
      </c>
      <c r="G247" s="10">
        <f t="shared" si="21"/>
        <v>0</v>
      </c>
      <c r="H247" s="10" t="b">
        <f>IF(ISERROR(VLOOKUP(E247,cuentas_pyme!C:C,1,FALSE)),FALSE,TRUE)</f>
        <v>1</v>
      </c>
      <c r="I247" s="10" t="s">
        <v>2775</v>
      </c>
      <c r="J247" s="11" t="s">
        <v>2781</v>
      </c>
      <c r="K247" s="10" t="str">
        <f t="shared" si="27"/>
        <v>1.A.2.1.36</v>
      </c>
      <c r="L247" s="10" t="str">
        <f t="shared" si="23"/>
        <v>1.A.2.1.36</v>
      </c>
      <c r="M247" s="12" t="s">
        <v>1782</v>
      </c>
      <c r="N247" t="s">
        <v>1578</v>
      </c>
      <c r="O247" t="str">
        <f t="shared" si="22"/>
        <v>1.A</v>
      </c>
    </row>
    <row r="248" spans="3:15" x14ac:dyDescent="0.25">
      <c r="C248" s="9">
        <v>291</v>
      </c>
      <c r="D248" s="16">
        <v>39</v>
      </c>
      <c r="E248" s="10" t="str">
        <f t="shared" si="24"/>
        <v>39</v>
      </c>
      <c r="F248" s="10" t="str">
        <f t="shared" si="25"/>
        <v>3</v>
      </c>
      <c r="G248" s="10">
        <f t="shared" si="21"/>
        <v>1</v>
      </c>
      <c r="H248" s="10" t="b">
        <f>IF(ISERROR(VLOOKUP(E248,cuentas_pyme!C:C,1,FALSE)),FALSE,TRUE)</f>
        <v>1</v>
      </c>
      <c r="I248" s="10" t="str">
        <f>VLOOKUP(D248,cuentas_balance!C:I,7,FALSE)</f>
        <v>1.A.2.1</v>
      </c>
      <c r="J248" s="11" t="str">
        <f t="shared" si="26"/>
        <v>1.A.2.1.39</v>
      </c>
      <c r="K248" s="10" t="str">
        <f t="shared" si="27"/>
        <v>1.A.2.1</v>
      </c>
      <c r="L248" s="10" t="str">
        <f t="shared" si="23"/>
        <v>1.A.2.1</v>
      </c>
      <c r="M248" s="12" t="s">
        <v>3061</v>
      </c>
      <c r="N248" t="s">
        <v>1578</v>
      </c>
      <c r="O248" t="str">
        <f t="shared" si="22"/>
        <v>1.A</v>
      </c>
    </row>
    <row r="249" spans="3:15" x14ac:dyDescent="0.25">
      <c r="C249" s="9">
        <v>292</v>
      </c>
      <c r="D249" s="16">
        <v>390</v>
      </c>
      <c r="E249" s="10" t="str">
        <f t="shared" si="24"/>
        <v>390</v>
      </c>
      <c r="F249" s="10" t="str">
        <f t="shared" si="25"/>
        <v>39</v>
      </c>
      <c r="G249" s="10">
        <f t="shared" si="21"/>
        <v>0</v>
      </c>
      <c r="H249" s="10" t="b">
        <f>IF(ISERROR(VLOOKUP(E249,cuentas_pyme!C:C,1,FALSE)),FALSE,TRUE)</f>
        <v>1</v>
      </c>
      <c r="I249" s="10" t="s">
        <v>2782</v>
      </c>
      <c r="J249" s="11" t="s">
        <v>2783</v>
      </c>
      <c r="K249" s="10" t="str">
        <f t="shared" si="27"/>
        <v>1.A.2.1.39</v>
      </c>
      <c r="L249" s="10" t="str">
        <f t="shared" si="23"/>
        <v>1.A.2.1.39</v>
      </c>
      <c r="M249" s="12" t="s">
        <v>1783</v>
      </c>
      <c r="N249" t="s">
        <v>1578</v>
      </c>
      <c r="O249" t="str">
        <f t="shared" si="22"/>
        <v>1.A</v>
      </c>
    </row>
    <row r="250" spans="3:15" x14ac:dyDescent="0.25">
      <c r="C250" s="9">
        <v>293</v>
      </c>
      <c r="D250" s="16">
        <v>391</v>
      </c>
      <c r="E250" s="10" t="str">
        <f t="shared" si="24"/>
        <v>391</v>
      </c>
      <c r="F250" s="10" t="str">
        <f t="shared" si="25"/>
        <v>39</v>
      </c>
      <c r="G250" s="10">
        <f t="shared" ref="G250:G313" si="28">IF(IFERROR(VLOOKUP(E250,F:F,1,FALSE),0)&lt;&gt;0,1,0)</f>
        <v>0</v>
      </c>
      <c r="H250" s="10" t="b">
        <f>IF(ISERROR(VLOOKUP(E250,cuentas_pyme!C:C,1,FALSE)),FALSE,TRUE)</f>
        <v>1</v>
      </c>
      <c r="I250" s="10" t="s">
        <v>2782</v>
      </c>
      <c r="J250" s="11" t="s">
        <v>2784</v>
      </c>
      <c r="K250" s="10" t="str">
        <f t="shared" si="27"/>
        <v>1.A.2.1.39</v>
      </c>
      <c r="L250" s="10" t="str">
        <f t="shared" si="23"/>
        <v>1.A.2.1.39</v>
      </c>
      <c r="M250" s="12" t="s">
        <v>1784</v>
      </c>
      <c r="N250" t="s">
        <v>1578</v>
      </c>
      <c r="O250" t="str">
        <f t="shared" si="22"/>
        <v>1.A</v>
      </c>
    </row>
    <row r="251" spans="3:15" x14ac:dyDescent="0.25">
      <c r="C251" s="9">
        <v>294</v>
      </c>
      <c r="D251" s="16">
        <v>392</v>
      </c>
      <c r="E251" s="10" t="str">
        <f t="shared" si="24"/>
        <v>392</v>
      </c>
      <c r="F251" s="10" t="str">
        <f t="shared" si="25"/>
        <v>39</v>
      </c>
      <c r="G251" s="10">
        <f t="shared" si="28"/>
        <v>0</v>
      </c>
      <c r="H251" s="10" t="b">
        <f>IF(ISERROR(VLOOKUP(E251,cuentas_pyme!C:C,1,FALSE)),FALSE,TRUE)</f>
        <v>1</v>
      </c>
      <c r="I251" s="10" t="s">
        <v>2782</v>
      </c>
      <c r="J251" s="11" t="s">
        <v>2785</v>
      </c>
      <c r="K251" s="10" t="str">
        <f t="shared" si="27"/>
        <v>1.A.2.1.39</v>
      </c>
      <c r="L251" s="10" t="str">
        <f t="shared" si="23"/>
        <v>1.A.2.1.39</v>
      </c>
      <c r="M251" s="12" t="s">
        <v>1785</v>
      </c>
      <c r="N251" t="s">
        <v>1578</v>
      </c>
      <c r="O251" t="str">
        <f t="shared" si="22"/>
        <v>1.A</v>
      </c>
    </row>
    <row r="252" spans="3:15" x14ac:dyDescent="0.25">
      <c r="C252" s="9">
        <v>295</v>
      </c>
      <c r="D252" s="16">
        <v>393</v>
      </c>
      <c r="E252" s="10" t="str">
        <f t="shared" si="24"/>
        <v>393</v>
      </c>
      <c r="F252" s="10" t="str">
        <f t="shared" si="25"/>
        <v>39</v>
      </c>
      <c r="G252" s="10">
        <f t="shared" si="28"/>
        <v>0</v>
      </c>
      <c r="H252" s="10" t="b">
        <f>IF(ISERROR(VLOOKUP(E252,cuentas_pyme!C:C,1,FALSE)),FALSE,TRUE)</f>
        <v>1</v>
      </c>
      <c r="I252" s="10" t="s">
        <v>2782</v>
      </c>
      <c r="J252" s="11" t="s">
        <v>2786</v>
      </c>
      <c r="K252" s="10" t="str">
        <f t="shared" si="27"/>
        <v>1.A.2.1.39</v>
      </c>
      <c r="L252" s="10" t="str">
        <f t="shared" si="23"/>
        <v>1.A.2.1.39</v>
      </c>
      <c r="M252" s="12" t="s">
        <v>1786</v>
      </c>
      <c r="N252" t="s">
        <v>1578</v>
      </c>
      <c r="O252" t="str">
        <f t="shared" si="22"/>
        <v>1.A</v>
      </c>
    </row>
    <row r="253" spans="3:15" x14ac:dyDescent="0.25">
      <c r="C253" s="9">
        <v>296</v>
      </c>
      <c r="D253" s="16">
        <v>394</v>
      </c>
      <c r="E253" s="10" t="str">
        <f t="shared" si="24"/>
        <v>394</v>
      </c>
      <c r="F253" s="10" t="str">
        <f t="shared" si="25"/>
        <v>39</v>
      </c>
      <c r="G253" s="10">
        <f t="shared" si="28"/>
        <v>0</v>
      </c>
      <c r="H253" s="10" t="b">
        <f>IF(ISERROR(VLOOKUP(E253,cuentas_pyme!C:C,1,FALSE)),FALSE,TRUE)</f>
        <v>1</v>
      </c>
      <c r="I253" s="10" t="s">
        <v>2782</v>
      </c>
      <c r="J253" s="11" t="s">
        <v>2787</v>
      </c>
      <c r="K253" s="10" t="str">
        <f t="shared" si="27"/>
        <v>1.A.2.1.39</v>
      </c>
      <c r="L253" s="10" t="str">
        <f t="shared" si="23"/>
        <v>1.A.2.1.39</v>
      </c>
      <c r="M253" s="12" t="s">
        <v>1787</v>
      </c>
      <c r="N253" t="s">
        <v>1578</v>
      </c>
      <c r="O253" t="str">
        <f t="shared" si="22"/>
        <v>1.A</v>
      </c>
    </row>
    <row r="254" spans="3:15" x14ac:dyDescent="0.25">
      <c r="C254" s="9">
        <v>297</v>
      </c>
      <c r="D254" s="16">
        <v>395</v>
      </c>
      <c r="E254" s="10" t="str">
        <f t="shared" si="24"/>
        <v>395</v>
      </c>
      <c r="F254" s="10" t="str">
        <f t="shared" si="25"/>
        <v>39</v>
      </c>
      <c r="G254" s="10">
        <f t="shared" si="28"/>
        <v>0</v>
      </c>
      <c r="H254" s="10" t="b">
        <f>IF(ISERROR(VLOOKUP(E254,cuentas_pyme!C:C,1,FALSE)),FALSE,TRUE)</f>
        <v>1</v>
      </c>
      <c r="I254" s="10" t="s">
        <v>2782</v>
      </c>
      <c r="J254" s="11" t="s">
        <v>2788</v>
      </c>
      <c r="K254" s="10" t="str">
        <f t="shared" si="27"/>
        <v>1.A.2.1.39</v>
      </c>
      <c r="L254" s="10" t="str">
        <f t="shared" si="23"/>
        <v>1.A.2.1.39</v>
      </c>
      <c r="M254" s="12" t="s">
        <v>1788</v>
      </c>
      <c r="N254" t="s">
        <v>1578</v>
      </c>
      <c r="O254" t="str">
        <f t="shared" si="22"/>
        <v>1.A</v>
      </c>
    </row>
    <row r="255" spans="3:15" x14ac:dyDescent="0.25">
      <c r="C255" s="9">
        <v>298</v>
      </c>
      <c r="D255" s="16">
        <v>396</v>
      </c>
      <c r="E255" s="10" t="str">
        <f t="shared" si="24"/>
        <v>396</v>
      </c>
      <c r="F255" s="10" t="str">
        <f t="shared" si="25"/>
        <v>39</v>
      </c>
      <c r="G255" s="10">
        <f t="shared" si="28"/>
        <v>0</v>
      </c>
      <c r="H255" s="10" t="b">
        <f>IF(ISERROR(VLOOKUP(E255,cuentas_pyme!C:C,1,FALSE)),FALSE,TRUE)</f>
        <v>1</v>
      </c>
      <c r="I255" s="10" t="s">
        <v>2782</v>
      </c>
      <c r="J255" s="11" t="s">
        <v>2789</v>
      </c>
      <c r="K255" s="10" t="str">
        <f t="shared" si="27"/>
        <v>1.A.2.1.39</v>
      </c>
      <c r="L255" s="10" t="str">
        <f t="shared" si="23"/>
        <v>1.A.2.1.39</v>
      </c>
      <c r="M255" s="12" t="s">
        <v>1789</v>
      </c>
      <c r="N255" t="s">
        <v>1578</v>
      </c>
      <c r="O255" t="str">
        <f t="shared" si="22"/>
        <v>1.A</v>
      </c>
    </row>
    <row r="256" spans="3:15" x14ac:dyDescent="0.25">
      <c r="C256" s="9">
        <v>301</v>
      </c>
      <c r="D256" s="16">
        <v>400</v>
      </c>
      <c r="E256" s="10" t="str">
        <f t="shared" si="24"/>
        <v>400</v>
      </c>
      <c r="F256" s="10" t="str">
        <f t="shared" si="25"/>
        <v>40</v>
      </c>
      <c r="G256" s="10">
        <f t="shared" si="28"/>
        <v>1</v>
      </c>
      <c r="H256" s="10" t="b">
        <f>IF(ISERROR(VLOOKUP(E256,cuentas_pyme!C:C,1,FALSE)),FALSE,TRUE)</f>
        <v>1</v>
      </c>
      <c r="I256" s="10" t="str">
        <f>VLOOKUP(D256,cuentas_balance!C:I,7,FALSE)</f>
        <v>2.P.2.4.1</v>
      </c>
      <c r="J256" s="11" t="str">
        <f>O256&amp;"."&amp;E256</f>
        <v>2.P.400</v>
      </c>
      <c r="K256" s="10" t="str">
        <f t="shared" si="27"/>
        <v>2.P.2.4.1</v>
      </c>
      <c r="L256" s="10" t="str">
        <f t="shared" si="23"/>
        <v>2.P.2.4.1</v>
      </c>
      <c r="M256" s="12" t="s">
        <v>1790</v>
      </c>
      <c r="N256" t="s">
        <v>1581</v>
      </c>
      <c r="O256" t="str">
        <f t="shared" si="22"/>
        <v>2.P</v>
      </c>
    </row>
    <row r="257" spans="3:15" x14ac:dyDescent="0.25">
      <c r="C257" s="9">
        <v>302</v>
      </c>
      <c r="D257" s="16">
        <v>4000</v>
      </c>
      <c r="E257" s="10" t="str">
        <f t="shared" si="24"/>
        <v>4000</v>
      </c>
      <c r="F257" s="10" t="str">
        <f t="shared" si="25"/>
        <v>400</v>
      </c>
      <c r="G257" s="10">
        <f t="shared" si="28"/>
        <v>0</v>
      </c>
      <c r="H257" s="10" t="b">
        <f>IF(ISERROR(VLOOKUP(E257,cuentas_pyme!C:C,1,FALSE)),FALSE,TRUE)</f>
        <v>1</v>
      </c>
      <c r="I257" s="10" t="s">
        <v>2272</v>
      </c>
      <c r="J257" s="11" t="s">
        <v>2331</v>
      </c>
      <c r="K257" s="10" t="str">
        <f t="shared" si="27"/>
        <v>2.P.400</v>
      </c>
      <c r="L257" s="10" t="str">
        <f t="shared" si="23"/>
        <v>2.P.400</v>
      </c>
      <c r="M257" s="12" t="s">
        <v>1791</v>
      </c>
      <c r="N257" t="s">
        <v>1581</v>
      </c>
      <c r="O257" t="str">
        <f t="shared" si="22"/>
        <v>2.P</v>
      </c>
    </row>
    <row r="258" spans="3:15" x14ac:dyDescent="0.25">
      <c r="C258" s="9">
        <v>303</v>
      </c>
      <c r="D258" s="16">
        <v>4004</v>
      </c>
      <c r="E258" s="10" t="str">
        <f t="shared" si="24"/>
        <v>4004</v>
      </c>
      <c r="F258" s="10" t="str">
        <f t="shared" si="25"/>
        <v>400</v>
      </c>
      <c r="G258" s="10">
        <f t="shared" si="28"/>
        <v>0</v>
      </c>
      <c r="H258" s="10" t="b">
        <f>IF(ISERROR(VLOOKUP(E258,cuentas_pyme!C:C,1,FALSE)),FALSE,TRUE)</f>
        <v>1</v>
      </c>
      <c r="I258" s="10" t="s">
        <v>2272</v>
      </c>
      <c r="J258" s="11" t="s">
        <v>2332</v>
      </c>
      <c r="K258" s="10" t="str">
        <f t="shared" si="27"/>
        <v>2.P.400</v>
      </c>
      <c r="L258" s="10" t="str">
        <f t="shared" si="23"/>
        <v>2.P.400</v>
      </c>
      <c r="M258" s="12" t="s">
        <v>1792</v>
      </c>
      <c r="N258" t="s">
        <v>1581</v>
      </c>
      <c r="O258" t="str">
        <f t="shared" si="22"/>
        <v>2.P</v>
      </c>
    </row>
    <row r="259" spans="3:15" x14ac:dyDescent="0.25">
      <c r="C259" s="9">
        <v>304</v>
      </c>
      <c r="D259" s="16">
        <v>4009</v>
      </c>
      <c r="E259" s="10" t="str">
        <f t="shared" si="24"/>
        <v>4009</v>
      </c>
      <c r="F259" s="10" t="str">
        <f t="shared" si="25"/>
        <v>400</v>
      </c>
      <c r="G259" s="10">
        <f t="shared" si="28"/>
        <v>0</v>
      </c>
      <c r="H259" s="10" t="b">
        <f>IF(ISERROR(VLOOKUP(E259,cuentas_pyme!C:C,1,FALSE)),FALSE,TRUE)</f>
        <v>1</v>
      </c>
      <c r="I259" s="10" t="s">
        <v>2272</v>
      </c>
      <c r="J259" s="11" t="s">
        <v>2333</v>
      </c>
      <c r="K259" s="10" t="str">
        <f t="shared" si="27"/>
        <v>2.P.400</v>
      </c>
      <c r="L259" s="10" t="str">
        <f t="shared" si="23"/>
        <v>2.P.400</v>
      </c>
      <c r="M259" s="12" t="s">
        <v>1793</v>
      </c>
      <c r="N259" t="s">
        <v>1581</v>
      </c>
      <c r="O259" t="str">
        <f t="shared" si="22"/>
        <v>2.P</v>
      </c>
    </row>
    <row r="260" spans="3:15" x14ac:dyDescent="0.25">
      <c r="C260" s="9">
        <v>305</v>
      </c>
      <c r="D260" s="16">
        <v>401</v>
      </c>
      <c r="E260" s="10" t="str">
        <f t="shared" si="24"/>
        <v>401</v>
      </c>
      <c r="F260" s="10" t="str">
        <f t="shared" si="25"/>
        <v>40</v>
      </c>
      <c r="G260" s="10">
        <f t="shared" si="28"/>
        <v>0</v>
      </c>
      <c r="H260" s="10" t="b">
        <f>IF(ISERROR(VLOOKUP(E260,cuentas_pyme!C:C,1,FALSE)),FALSE,TRUE)</f>
        <v>1</v>
      </c>
      <c r="I260" s="10" t="str">
        <f>VLOOKUP(D260,cuentas_balance!C:I,7,FALSE)</f>
        <v>2.P.2.4.1</v>
      </c>
      <c r="J260" s="11" t="str">
        <f t="shared" ref="J260:J313" si="29">I260&amp;"."&amp;E260</f>
        <v>2.P.2.4.1.401</v>
      </c>
      <c r="K260" s="10" t="str">
        <f t="shared" si="27"/>
        <v>2.P.2.4.1</v>
      </c>
      <c r="L260" s="10" t="str">
        <f t="shared" si="23"/>
        <v>2.P.2.4.1</v>
      </c>
      <c r="M260" s="12" t="s">
        <v>1794</v>
      </c>
      <c r="N260" t="s">
        <v>1581</v>
      </c>
      <c r="O260" t="str">
        <f t="shared" ref="O260:O268" si="30">IFERROR(VLOOKUP(N260,$Q$4:$R$9,2,FALSE),"")</f>
        <v>2.P</v>
      </c>
    </row>
    <row r="261" spans="3:15" x14ac:dyDescent="0.25">
      <c r="C261" s="9">
        <v>306</v>
      </c>
      <c r="D261" s="16">
        <v>403</v>
      </c>
      <c r="E261" s="10" t="str">
        <f t="shared" si="24"/>
        <v>403</v>
      </c>
      <c r="F261" s="10" t="str">
        <f t="shared" si="25"/>
        <v>40</v>
      </c>
      <c r="G261" s="10">
        <f t="shared" si="28"/>
        <v>1</v>
      </c>
      <c r="H261" s="10" t="b">
        <f>IF(ISERROR(VLOOKUP(E261,cuentas_pyme!C:C,1,FALSE)),FALSE,TRUE)</f>
        <v>1</v>
      </c>
      <c r="I261" s="10" t="str">
        <f>VLOOKUP(D261,cuentas_balance!C:I,7,FALSE)</f>
        <v>2.P.2.4.1</v>
      </c>
      <c r="J261" s="11" t="str">
        <f t="shared" si="29"/>
        <v>2.P.2.4.1.403</v>
      </c>
      <c r="K261" s="10" t="str">
        <f t="shared" si="27"/>
        <v>2.P.2.4.1</v>
      </c>
      <c r="L261" s="10" t="str">
        <f t="shared" si="23"/>
        <v>2.P.2.4.1</v>
      </c>
      <c r="M261" s="12" t="s">
        <v>1795</v>
      </c>
      <c r="N261" t="s">
        <v>1581</v>
      </c>
      <c r="O261" t="str">
        <f t="shared" si="30"/>
        <v>2.P</v>
      </c>
    </row>
    <row r="262" spans="3:15" x14ac:dyDescent="0.25">
      <c r="C262" s="9">
        <v>307</v>
      </c>
      <c r="D262" s="16">
        <v>4030</v>
      </c>
      <c r="E262" s="10" t="str">
        <f t="shared" si="24"/>
        <v>4030</v>
      </c>
      <c r="F262" s="10" t="str">
        <f t="shared" si="25"/>
        <v>403</v>
      </c>
      <c r="G262" s="10">
        <f t="shared" si="28"/>
        <v>0</v>
      </c>
      <c r="H262" s="10" t="b">
        <f>IF(ISERROR(VLOOKUP(E262,cuentas_pyme!C:C,1,FALSE)),FALSE,TRUE)</f>
        <v>1</v>
      </c>
      <c r="I262" s="10" t="s">
        <v>2790</v>
      </c>
      <c r="J262" s="11" t="s">
        <v>2791</v>
      </c>
      <c r="K262" s="10" t="str">
        <f t="shared" si="27"/>
        <v>2.P.2.4.1.403</v>
      </c>
      <c r="L262" s="10" t="str">
        <f t="shared" si="23"/>
        <v>2.P.2.4.1.403</v>
      </c>
      <c r="M262" s="12" t="s">
        <v>1796</v>
      </c>
      <c r="N262" t="s">
        <v>1581</v>
      </c>
      <c r="O262" t="str">
        <f t="shared" si="30"/>
        <v>2.P</v>
      </c>
    </row>
    <row r="263" spans="3:15" x14ac:dyDescent="0.25">
      <c r="C263" s="9">
        <v>308</v>
      </c>
      <c r="D263" s="16">
        <v>4031</v>
      </c>
      <c r="E263" s="10" t="str">
        <f t="shared" si="24"/>
        <v>4031</v>
      </c>
      <c r="F263" s="10" t="str">
        <f t="shared" si="25"/>
        <v>403</v>
      </c>
      <c r="G263" s="10">
        <f t="shared" si="28"/>
        <v>0</v>
      </c>
      <c r="H263" s="10" t="b">
        <f>IF(ISERROR(VLOOKUP(E263,cuentas_pyme!C:C,1,FALSE)),FALSE,TRUE)</f>
        <v>1</v>
      </c>
      <c r="I263" s="10" t="s">
        <v>2790</v>
      </c>
      <c r="J263" s="11" t="s">
        <v>2792</v>
      </c>
      <c r="K263" s="10" t="str">
        <f t="shared" si="27"/>
        <v>2.P.2.4.1.403</v>
      </c>
      <c r="L263" s="10" t="str">
        <f t="shared" si="23"/>
        <v>2.P.2.4.1.403</v>
      </c>
      <c r="M263" s="12" t="s">
        <v>1797</v>
      </c>
      <c r="N263" t="s">
        <v>1581</v>
      </c>
      <c r="O263" t="str">
        <f t="shared" si="30"/>
        <v>2.P</v>
      </c>
    </row>
    <row r="264" spans="3:15" x14ac:dyDescent="0.25">
      <c r="C264" s="9">
        <v>309</v>
      </c>
      <c r="D264" s="16">
        <v>4034</v>
      </c>
      <c r="E264" s="10" t="str">
        <f t="shared" si="24"/>
        <v>4034</v>
      </c>
      <c r="F264" s="10" t="str">
        <f t="shared" si="25"/>
        <v>403</v>
      </c>
      <c r="G264" s="10">
        <f t="shared" si="28"/>
        <v>0</v>
      </c>
      <c r="H264" s="10" t="b">
        <f>IF(ISERROR(VLOOKUP(E264,cuentas_pyme!C:C,1,FALSE)),FALSE,TRUE)</f>
        <v>1</v>
      </c>
      <c r="I264" s="10" t="s">
        <v>2790</v>
      </c>
      <c r="J264" s="11" t="s">
        <v>2793</v>
      </c>
      <c r="K264" s="10" t="str">
        <f t="shared" si="27"/>
        <v>2.P.2.4.1.403</v>
      </c>
      <c r="L264" s="10" t="str">
        <f t="shared" si="23"/>
        <v>2.P.2.4.1.403</v>
      </c>
      <c r="M264" s="12" t="s">
        <v>1798</v>
      </c>
      <c r="N264" t="s">
        <v>1581</v>
      </c>
      <c r="O264" t="str">
        <f t="shared" si="30"/>
        <v>2.P</v>
      </c>
    </row>
    <row r="265" spans="3:15" x14ac:dyDescent="0.25">
      <c r="C265" s="9">
        <v>310</v>
      </c>
      <c r="D265" s="16">
        <v>4036</v>
      </c>
      <c r="E265" s="10" t="str">
        <f t="shared" si="24"/>
        <v>4036</v>
      </c>
      <c r="F265" s="10" t="str">
        <f t="shared" si="25"/>
        <v>403</v>
      </c>
      <c r="G265" s="10">
        <f t="shared" si="28"/>
        <v>0</v>
      </c>
      <c r="H265" s="10" t="b">
        <f>IF(ISERROR(VLOOKUP(E265,cuentas_pyme!C:C,1,FALSE)),FALSE,TRUE)</f>
        <v>1</v>
      </c>
      <c r="I265" s="10" t="s">
        <v>2790</v>
      </c>
      <c r="J265" s="11" t="s">
        <v>2794</v>
      </c>
      <c r="K265" s="10" t="str">
        <f t="shared" si="27"/>
        <v>2.P.2.4.1.403</v>
      </c>
      <c r="L265" s="10" t="str">
        <f t="shared" ref="L265:L328" si="31">VLOOKUP(K265,J:J,1,FALSE)</f>
        <v>2.P.2.4.1.403</v>
      </c>
      <c r="M265" s="12" t="s">
        <v>1799</v>
      </c>
      <c r="N265" t="s">
        <v>1581</v>
      </c>
      <c r="O265" t="str">
        <f t="shared" si="30"/>
        <v>2.P</v>
      </c>
    </row>
    <row r="266" spans="3:15" x14ac:dyDescent="0.25">
      <c r="C266" s="9">
        <v>311</v>
      </c>
      <c r="D266" s="16">
        <v>4039</v>
      </c>
      <c r="E266" s="10" t="str">
        <f t="shared" si="24"/>
        <v>4039</v>
      </c>
      <c r="F266" s="10" t="str">
        <f t="shared" si="25"/>
        <v>403</v>
      </c>
      <c r="G266" s="10">
        <f t="shared" si="28"/>
        <v>0</v>
      </c>
      <c r="H266" s="10" t="b">
        <f>IF(ISERROR(VLOOKUP(E266,cuentas_pyme!C:C,1,FALSE)),FALSE,TRUE)</f>
        <v>1</v>
      </c>
      <c r="I266" s="10" t="s">
        <v>2790</v>
      </c>
      <c r="J266" s="11" t="s">
        <v>2795</v>
      </c>
      <c r="K266" s="10" t="str">
        <f t="shared" si="27"/>
        <v>2.P.2.4.1.403</v>
      </c>
      <c r="L266" s="10" t="str">
        <f t="shared" si="31"/>
        <v>2.P.2.4.1.403</v>
      </c>
      <c r="M266" s="12" t="s">
        <v>1800</v>
      </c>
      <c r="N266" t="s">
        <v>1581</v>
      </c>
      <c r="O266" t="str">
        <f t="shared" si="30"/>
        <v>2.P</v>
      </c>
    </row>
    <row r="267" spans="3:15" x14ac:dyDescent="0.25">
      <c r="C267" s="9">
        <v>312</v>
      </c>
      <c r="D267" s="16">
        <v>404</v>
      </c>
      <c r="E267" s="10" t="str">
        <f t="shared" si="24"/>
        <v>404</v>
      </c>
      <c r="F267" s="10" t="str">
        <f t="shared" si="25"/>
        <v>40</v>
      </c>
      <c r="G267" s="10">
        <f t="shared" si="28"/>
        <v>0</v>
      </c>
      <c r="H267" s="10" t="b">
        <f>IF(ISERROR(VLOOKUP(E267,cuentas_pyme!C:C,1,FALSE)),FALSE,TRUE)</f>
        <v>1</v>
      </c>
      <c r="I267" s="10" t="str">
        <f>VLOOKUP(D267,cuentas_balance!C:I,7,FALSE)</f>
        <v>2.P.2.4.1</v>
      </c>
      <c r="J267" s="11" t="str">
        <f t="shared" si="29"/>
        <v>2.P.2.4.1.404</v>
      </c>
      <c r="K267" s="10" t="str">
        <f t="shared" si="27"/>
        <v>2.P.2.4.1</v>
      </c>
      <c r="L267" s="10" t="str">
        <f t="shared" si="31"/>
        <v>2.P.2.4.1</v>
      </c>
      <c r="M267" s="12" t="s">
        <v>1801</v>
      </c>
      <c r="N267" t="s">
        <v>1581</v>
      </c>
      <c r="O267" t="str">
        <f t="shared" si="30"/>
        <v>2.P</v>
      </c>
    </row>
    <row r="268" spans="3:15" x14ac:dyDescent="0.25">
      <c r="C268" s="9">
        <v>313</v>
      </c>
      <c r="D268" s="16">
        <v>405</v>
      </c>
      <c r="E268" s="10" t="str">
        <f t="shared" ref="E268:E325" si="32">TEXT(D268,0)</f>
        <v>405</v>
      </c>
      <c r="F268" s="10" t="str">
        <f t="shared" ref="F268:F325" si="33">LEFT(D268,LEN(D268)-1)</f>
        <v>40</v>
      </c>
      <c r="G268" s="10">
        <f t="shared" si="28"/>
        <v>0</v>
      </c>
      <c r="H268" s="10" t="b">
        <f>IF(ISERROR(VLOOKUP(E268,cuentas_pyme!C:C,1,FALSE)),FALSE,TRUE)</f>
        <v>1</v>
      </c>
      <c r="I268" s="10" t="str">
        <f>VLOOKUP(D268,cuentas_balance!C:I,7,FALSE)</f>
        <v>2.P.2.4.1</v>
      </c>
      <c r="J268" s="11" t="str">
        <f t="shared" si="29"/>
        <v>2.P.2.4.1.405</v>
      </c>
      <c r="K268" s="10" t="str">
        <f t="shared" si="27"/>
        <v>2.P.2.4.1</v>
      </c>
      <c r="L268" s="10" t="str">
        <f t="shared" si="31"/>
        <v>2.P.2.4.1</v>
      </c>
      <c r="M268" s="12" t="s">
        <v>1802</v>
      </c>
      <c r="N268" t="s">
        <v>1581</v>
      </c>
      <c r="O268" t="str">
        <f t="shared" si="30"/>
        <v>2.P</v>
      </c>
    </row>
    <row r="269" spans="3:15" x14ac:dyDescent="0.25">
      <c r="C269" s="9">
        <v>314</v>
      </c>
      <c r="D269" s="16">
        <v>406</v>
      </c>
      <c r="E269" s="10" t="str">
        <f t="shared" si="32"/>
        <v>406</v>
      </c>
      <c r="F269" s="10" t="str">
        <f t="shared" si="33"/>
        <v>40</v>
      </c>
      <c r="G269" s="10">
        <f t="shared" si="28"/>
        <v>0</v>
      </c>
      <c r="H269" s="10" t="b">
        <f>IF(ISERROR(VLOOKUP(E269,cuentas_pyme!C:C,1,FALSE)),FALSE,TRUE)</f>
        <v>1</v>
      </c>
      <c r="I269" s="10" t="str">
        <f>VLOOKUP(D269,cuentas_balance!C:I,7,FALSE)</f>
        <v>2.P.2.4.1</v>
      </c>
      <c r="J269" s="11" t="str">
        <f t="shared" si="29"/>
        <v>2.P.2.4.1.406</v>
      </c>
      <c r="K269" s="10" t="str">
        <f t="shared" si="27"/>
        <v>2.P.2.4.1</v>
      </c>
      <c r="L269" s="10" t="str">
        <f t="shared" si="31"/>
        <v>2.P.2.4.1</v>
      </c>
      <c r="M269" s="12" t="s">
        <v>1803</v>
      </c>
      <c r="N269" t="s">
        <v>1581</v>
      </c>
      <c r="O269" t="str">
        <f t="shared" ref="O269:O326" si="34">IFERROR(VLOOKUP(N269,$Q$4:$R$9,2,FALSE),"")</f>
        <v>2.P</v>
      </c>
    </row>
    <row r="270" spans="3:15" x14ac:dyDescent="0.25">
      <c r="C270" s="9">
        <v>315</v>
      </c>
      <c r="D270" s="16">
        <v>407</v>
      </c>
      <c r="E270" s="10" t="str">
        <f t="shared" si="32"/>
        <v>407</v>
      </c>
      <c r="F270" s="10" t="str">
        <f t="shared" si="33"/>
        <v>40</v>
      </c>
      <c r="G270" s="10">
        <f t="shared" si="28"/>
        <v>0</v>
      </c>
      <c r="H270" s="10" t="b">
        <f>IF(ISERROR(VLOOKUP(E270,cuentas_pyme!C:C,1,FALSE)),FALSE,TRUE)</f>
        <v>1</v>
      </c>
      <c r="I270" s="10" t="str">
        <f>VLOOKUP(D270,cuentas_balance!C:I,7,FALSE)</f>
        <v>1.A.2.1</v>
      </c>
      <c r="J270" s="11" t="str">
        <f t="shared" si="29"/>
        <v>1.A.2.1.407</v>
      </c>
      <c r="K270" s="10" t="str">
        <f t="shared" si="27"/>
        <v>1.A.2.1</v>
      </c>
      <c r="L270" s="10" t="str">
        <f t="shared" si="31"/>
        <v>1.A.2.1</v>
      </c>
      <c r="M270" s="12" t="s">
        <v>1804</v>
      </c>
      <c r="N270" t="s">
        <v>1581</v>
      </c>
      <c r="O270" t="str">
        <f t="shared" si="34"/>
        <v>2.P</v>
      </c>
    </row>
    <row r="271" spans="3:15" x14ac:dyDescent="0.25">
      <c r="C271" s="9">
        <v>316</v>
      </c>
      <c r="D271" s="16">
        <v>41</v>
      </c>
      <c r="E271" s="10" t="str">
        <f t="shared" si="32"/>
        <v>41</v>
      </c>
      <c r="F271" s="10" t="str">
        <f t="shared" si="33"/>
        <v>4</v>
      </c>
      <c r="G271" s="10">
        <f t="shared" si="28"/>
        <v>1</v>
      </c>
      <c r="H271" s="10" t="b">
        <f>IF(ISERROR(VLOOKUP(E271,cuentas_pyme!C:C,1,FALSE)),FALSE,TRUE)</f>
        <v>1</v>
      </c>
      <c r="I271" s="10" t="str">
        <f>VLOOKUP(D271,cuentas_balance!C:I,7,FALSE)</f>
        <v>2.P.2.4.2</v>
      </c>
      <c r="J271" s="11" t="str">
        <f t="shared" si="29"/>
        <v>2.P.2.4.2.41</v>
      </c>
      <c r="K271" s="10" t="str">
        <f t="shared" si="27"/>
        <v>2.P.2.4.2</v>
      </c>
      <c r="L271" s="10" t="str">
        <f t="shared" si="31"/>
        <v>2.P.2.4.2</v>
      </c>
      <c r="M271" s="12" t="s">
        <v>3079</v>
      </c>
      <c r="N271" t="s">
        <v>1581</v>
      </c>
      <c r="O271" t="str">
        <f t="shared" si="34"/>
        <v>2.P</v>
      </c>
    </row>
    <row r="272" spans="3:15" x14ac:dyDescent="0.25">
      <c r="C272" s="9">
        <v>317</v>
      </c>
      <c r="D272" s="16">
        <v>410</v>
      </c>
      <c r="E272" s="10" t="str">
        <f t="shared" si="32"/>
        <v>410</v>
      </c>
      <c r="F272" s="10" t="str">
        <f t="shared" si="33"/>
        <v>41</v>
      </c>
      <c r="G272" s="10">
        <f t="shared" si="28"/>
        <v>1</v>
      </c>
      <c r="H272" s="10" t="b">
        <f>IF(ISERROR(VLOOKUP(E272,cuentas_pyme!C:C,1,FALSE)),FALSE,TRUE)</f>
        <v>1</v>
      </c>
      <c r="I272" s="10" t="str">
        <f>J271</f>
        <v>2.P.2.4.2.41</v>
      </c>
      <c r="J272" s="11" t="s">
        <v>2796</v>
      </c>
      <c r="K272" s="10" t="str">
        <f t="shared" ref="K272:K330" si="35">I272</f>
        <v>2.P.2.4.2.41</v>
      </c>
      <c r="L272" s="10" t="str">
        <f t="shared" si="31"/>
        <v>2.P.2.4.2.41</v>
      </c>
      <c r="M272" s="12" t="s">
        <v>1805</v>
      </c>
      <c r="N272" t="s">
        <v>1581</v>
      </c>
      <c r="O272" t="str">
        <f t="shared" si="34"/>
        <v>2.P</v>
      </c>
    </row>
    <row r="273" spans="3:15" x14ac:dyDescent="0.25">
      <c r="C273" s="9">
        <v>318</v>
      </c>
      <c r="D273" s="16">
        <v>4100</v>
      </c>
      <c r="E273" s="10" t="str">
        <f t="shared" si="32"/>
        <v>4100</v>
      </c>
      <c r="F273" s="10" t="str">
        <f t="shared" si="33"/>
        <v>410</v>
      </c>
      <c r="G273" s="10">
        <f t="shared" si="28"/>
        <v>0</v>
      </c>
      <c r="H273" s="10" t="b">
        <f>IF(ISERROR(VLOOKUP(E273,cuentas_pyme!C:C,1,FALSE)),FALSE,TRUE)</f>
        <v>1</v>
      </c>
      <c r="I273" s="10" t="s">
        <v>2796</v>
      </c>
      <c r="J273" s="11" t="s">
        <v>2797</v>
      </c>
      <c r="K273" s="10" t="str">
        <f t="shared" si="35"/>
        <v>2.P.2.4.2.410</v>
      </c>
      <c r="L273" s="10" t="str">
        <f t="shared" si="31"/>
        <v>2.P.2.4.2.410</v>
      </c>
      <c r="M273" s="12" t="s">
        <v>1806</v>
      </c>
      <c r="N273" t="s">
        <v>1581</v>
      </c>
      <c r="O273" t="str">
        <f t="shared" si="34"/>
        <v>2.P</v>
      </c>
    </row>
    <row r="274" spans="3:15" x14ac:dyDescent="0.25">
      <c r="C274" s="9">
        <v>319</v>
      </c>
      <c r="D274" s="16">
        <v>4104</v>
      </c>
      <c r="E274" s="10" t="str">
        <f t="shared" si="32"/>
        <v>4104</v>
      </c>
      <c r="F274" s="10" t="str">
        <f t="shared" si="33"/>
        <v>410</v>
      </c>
      <c r="G274" s="10">
        <f t="shared" si="28"/>
        <v>0</v>
      </c>
      <c r="H274" s="10" t="b">
        <f>IF(ISERROR(VLOOKUP(E274,cuentas_pyme!C:C,1,FALSE)),FALSE,TRUE)</f>
        <v>1</v>
      </c>
      <c r="I274" s="10" t="s">
        <v>2796</v>
      </c>
      <c r="J274" s="11" t="s">
        <v>2798</v>
      </c>
      <c r="K274" s="10" t="str">
        <f t="shared" si="35"/>
        <v>2.P.2.4.2.410</v>
      </c>
      <c r="L274" s="10" t="str">
        <f t="shared" si="31"/>
        <v>2.P.2.4.2.410</v>
      </c>
      <c r="M274" s="12" t="s">
        <v>1807</v>
      </c>
      <c r="N274" t="s">
        <v>1581</v>
      </c>
      <c r="O274" t="str">
        <f t="shared" si="34"/>
        <v>2.P</v>
      </c>
    </row>
    <row r="275" spans="3:15" x14ac:dyDescent="0.25">
      <c r="C275" s="9">
        <v>320</v>
      </c>
      <c r="D275" s="16">
        <v>4109</v>
      </c>
      <c r="E275" s="10" t="str">
        <f t="shared" si="32"/>
        <v>4109</v>
      </c>
      <c r="F275" s="10" t="str">
        <f t="shared" si="33"/>
        <v>410</v>
      </c>
      <c r="G275" s="10">
        <f t="shared" si="28"/>
        <v>0</v>
      </c>
      <c r="H275" s="10" t="b">
        <f>IF(ISERROR(VLOOKUP(E275,cuentas_pyme!C:C,1,FALSE)),FALSE,TRUE)</f>
        <v>1</v>
      </c>
      <c r="I275" s="10" t="s">
        <v>2796</v>
      </c>
      <c r="J275" s="11" t="s">
        <v>2799</v>
      </c>
      <c r="K275" s="10" t="str">
        <f t="shared" si="35"/>
        <v>2.P.2.4.2.410</v>
      </c>
      <c r="L275" s="10" t="str">
        <f t="shared" si="31"/>
        <v>2.P.2.4.2.410</v>
      </c>
      <c r="M275" s="12" t="s">
        <v>1808</v>
      </c>
      <c r="N275" t="s">
        <v>1581</v>
      </c>
      <c r="O275" t="str">
        <f t="shared" si="34"/>
        <v>2.P</v>
      </c>
    </row>
    <row r="276" spans="3:15" x14ac:dyDescent="0.25">
      <c r="C276" s="9">
        <v>321</v>
      </c>
      <c r="D276" s="16">
        <v>411</v>
      </c>
      <c r="E276" s="10" t="str">
        <f t="shared" si="32"/>
        <v>411</v>
      </c>
      <c r="F276" s="10" t="str">
        <f t="shared" si="33"/>
        <v>41</v>
      </c>
      <c r="G276" s="10">
        <f t="shared" si="28"/>
        <v>0</v>
      </c>
      <c r="H276" s="10" t="b">
        <f>IF(ISERROR(VLOOKUP(E276,cuentas_pyme!C:C,1,FALSE)),FALSE,TRUE)</f>
        <v>1</v>
      </c>
      <c r="I276" s="10" t="str">
        <f>J271</f>
        <v>2.P.2.4.2.41</v>
      </c>
      <c r="J276" s="11" t="s">
        <v>2801</v>
      </c>
      <c r="K276" s="10" t="str">
        <f t="shared" si="35"/>
        <v>2.P.2.4.2.41</v>
      </c>
      <c r="L276" s="10" t="str">
        <f t="shared" si="31"/>
        <v>2.P.2.4.2.41</v>
      </c>
      <c r="M276" s="12" t="s">
        <v>1809</v>
      </c>
      <c r="N276" t="s">
        <v>1581</v>
      </c>
      <c r="O276" t="str">
        <f t="shared" si="34"/>
        <v>2.P</v>
      </c>
    </row>
    <row r="277" spans="3:15" x14ac:dyDescent="0.25">
      <c r="C277" s="9">
        <v>322</v>
      </c>
      <c r="D277" s="16">
        <v>419</v>
      </c>
      <c r="E277" s="10" t="str">
        <f t="shared" si="32"/>
        <v>419</v>
      </c>
      <c r="F277" s="10" t="str">
        <f t="shared" si="33"/>
        <v>41</v>
      </c>
      <c r="G277" s="10">
        <f t="shared" si="28"/>
        <v>0</v>
      </c>
      <c r="H277" s="10" t="b">
        <f>IF(ISERROR(VLOOKUP(E277,cuentas_pyme!C:C,1,FALSE)),FALSE,TRUE)</f>
        <v>1</v>
      </c>
      <c r="I277" s="10" t="s">
        <v>2800</v>
      </c>
      <c r="J277" s="11" t="s">
        <v>2802</v>
      </c>
      <c r="K277" s="10" t="str">
        <f t="shared" si="35"/>
        <v>2.P.2.4.2.41</v>
      </c>
      <c r="L277" s="10" t="str">
        <f t="shared" si="31"/>
        <v>2.P.2.4.2.41</v>
      </c>
      <c r="M277" s="12" t="s">
        <v>1810</v>
      </c>
      <c r="N277" t="s">
        <v>1581</v>
      </c>
      <c r="O277" t="str">
        <f t="shared" si="34"/>
        <v>2.P</v>
      </c>
    </row>
    <row r="278" spans="3:15" x14ac:dyDescent="0.25">
      <c r="C278" s="9">
        <v>324</v>
      </c>
      <c r="D278" s="16">
        <v>430</v>
      </c>
      <c r="E278" s="10" t="str">
        <f t="shared" si="32"/>
        <v>430</v>
      </c>
      <c r="F278" s="10" t="str">
        <f t="shared" si="33"/>
        <v>43</v>
      </c>
      <c r="G278" s="10">
        <f t="shared" si="28"/>
        <v>1</v>
      </c>
      <c r="H278" s="10" t="b">
        <f>IF(ISERROR(VLOOKUP(E278,cuentas_pyme!C:C,1,FALSE)),FALSE,TRUE)</f>
        <v>1</v>
      </c>
      <c r="I278" s="10" t="str">
        <f>VLOOKUP(D278,cuentas_balance!C:I,7,FALSE)</f>
        <v>1.A.2.2.1</v>
      </c>
      <c r="J278" s="11" t="str">
        <f t="shared" si="29"/>
        <v>1.A.2.2.1.430</v>
      </c>
      <c r="K278" s="10" t="str">
        <f t="shared" si="35"/>
        <v>1.A.2.2.1</v>
      </c>
      <c r="L278" s="10" t="str">
        <f t="shared" si="31"/>
        <v>1.A.2.2.1</v>
      </c>
      <c r="M278" s="12" t="s">
        <v>1811</v>
      </c>
      <c r="N278" t="s">
        <v>1578</v>
      </c>
      <c r="O278" t="str">
        <f t="shared" si="34"/>
        <v>1.A</v>
      </c>
    </row>
    <row r="279" spans="3:15" x14ac:dyDescent="0.25">
      <c r="C279" s="9">
        <v>325</v>
      </c>
      <c r="D279" s="16">
        <v>4300</v>
      </c>
      <c r="E279" s="10" t="str">
        <f t="shared" si="32"/>
        <v>4300</v>
      </c>
      <c r="F279" s="10" t="str">
        <f t="shared" si="33"/>
        <v>430</v>
      </c>
      <c r="G279" s="10">
        <f t="shared" si="28"/>
        <v>0</v>
      </c>
      <c r="H279" s="10" t="b">
        <f>IF(ISERROR(VLOOKUP(E279,cuentas_pyme!C:C,1,FALSE)),FALSE,TRUE)</f>
        <v>1</v>
      </c>
      <c r="I279" s="10" t="s">
        <v>2803</v>
      </c>
      <c r="J279" s="11" t="s">
        <v>2804</v>
      </c>
      <c r="K279" s="10" t="str">
        <f t="shared" si="35"/>
        <v>1.A.2.2.1.430</v>
      </c>
      <c r="L279" s="10" t="str">
        <f t="shared" si="31"/>
        <v>1.A.2.2.1.430</v>
      </c>
      <c r="M279" s="12" t="s">
        <v>1812</v>
      </c>
      <c r="N279" t="s">
        <v>1578</v>
      </c>
      <c r="O279" t="str">
        <f t="shared" si="34"/>
        <v>1.A</v>
      </c>
    </row>
    <row r="280" spans="3:15" x14ac:dyDescent="0.25">
      <c r="C280" s="9">
        <v>326</v>
      </c>
      <c r="D280" s="16">
        <v>4304</v>
      </c>
      <c r="E280" s="10" t="str">
        <f t="shared" si="32"/>
        <v>4304</v>
      </c>
      <c r="F280" s="10" t="str">
        <f t="shared" si="33"/>
        <v>430</v>
      </c>
      <c r="G280" s="10">
        <f t="shared" si="28"/>
        <v>0</v>
      </c>
      <c r="H280" s="10" t="b">
        <f>IF(ISERROR(VLOOKUP(E280,cuentas_pyme!C:C,1,FALSE)),FALSE,TRUE)</f>
        <v>1</v>
      </c>
      <c r="I280" s="10" t="s">
        <v>2803</v>
      </c>
      <c r="J280" s="11" t="s">
        <v>2805</v>
      </c>
      <c r="K280" s="10" t="str">
        <f t="shared" si="35"/>
        <v>1.A.2.2.1.430</v>
      </c>
      <c r="L280" s="10" t="str">
        <f t="shared" si="31"/>
        <v>1.A.2.2.1.430</v>
      </c>
      <c r="M280" s="12" t="s">
        <v>1813</v>
      </c>
      <c r="N280" t="s">
        <v>1578</v>
      </c>
      <c r="O280" t="str">
        <f t="shared" si="34"/>
        <v>1.A</v>
      </c>
    </row>
    <row r="281" spans="3:15" x14ac:dyDescent="0.25">
      <c r="C281" s="9">
        <v>327</v>
      </c>
      <c r="D281" s="16">
        <v>4309</v>
      </c>
      <c r="E281" s="10" t="str">
        <f t="shared" si="32"/>
        <v>4309</v>
      </c>
      <c r="F281" s="10" t="str">
        <f t="shared" si="33"/>
        <v>430</v>
      </c>
      <c r="G281" s="10">
        <f t="shared" si="28"/>
        <v>0</v>
      </c>
      <c r="H281" s="10" t="b">
        <f>IF(ISERROR(VLOOKUP(E281,cuentas_pyme!C:C,1,FALSE)),FALSE,TRUE)</f>
        <v>1</v>
      </c>
      <c r="I281" s="10" t="s">
        <v>2803</v>
      </c>
      <c r="J281" s="11" t="s">
        <v>2806</v>
      </c>
      <c r="K281" s="10" t="str">
        <f t="shared" si="35"/>
        <v>1.A.2.2.1.430</v>
      </c>
      <c r="L281" s="10" t="str">
        <f t="shared" si="31"/>
        <v>1.A.2.2.1.430</v>
      </c>
      <c r="M281" s="12" t="s">
        <v>1814</v>
      </c>
      <c r="N281" t="s">
        <v>1578</v>
      </c>
      <c r="O281" t="str">
        <f t="shared" si="34"/>
        <v>1.A</v>
      </c>
    </row>
    <row r="282" spans="3:15" x14ac:dyDescent="0.25">
      <c r="C282" s="9">
        <v>328</v>
      </c>
      <c r="D282" s="16">
        <v>431</v>
      </c>
      <c r="E282" s="10" t="str">
        <f t="shared" si="32"/>
        <v>431</v>
      </c>
      <c r="F282" s="10" t="str">
        <f t="shared" si="33"/>
        <v>43</v>
      </c>
      <c r="G282" s="10">
        <f t="shared" si="28"/>
        <v>1</v>
      </c>
      <c r="H282" s="10" t="b">
        <f>IF(ISERROR(VLOOKUP(E282,cuentas_pyme!C:C,1,FALSE)),FALSE,TRUE)</f>
        <v>1</v>
      </c>
      <c r="I282" s="10" t="str">
        <f>VLOOKUP(D282,cuentas_balance!C:I,7,FALSE)</f>
        <v>1.A.2.2.1</v>
      </c>
      <c r="J282" s="11" t="str">
        <f t="shared" si="29"/>
        <v>1.A.2.2.1.431</v>
      </c>
      <c r="K282" s="10" t="str">
        <f t="shared" si="35"/>
        <v>1.A.2.2.1</v>
      </c>
      <c r="L282" s="10" t="str">
        <f t="shared" si="31"/>
        <v>1.A.2.2.1</v>
      </c>
      <c r="M282" s="12" t="s">
        <v>1815</v>
      </c>
      <c r="N282" t="s">
        <v>1578</v>
      </c>
      <c r="O282" t="str">
        <f t="shared" si="34"/>
        <v>1.A</v>
      </c>
    </row>
    <row r="283" spans="3:15" x14ac:dyDescent="0.25">
      <c r="C283" s="9">
        <v>329</v>
      </c>
      <c r="D283" s="16">
        <v>4310</v>
      </c>
      <c r="E283" s="10" t="str">
        <f t="shared" si="32"/>
        <v>4310</v>
      </c>
      <c r="F283" s="10" t="str">
        <f t="shared" si="33"/>
        <v>431</v>
      </c>
      <c r="G283" s="10">
        <f t="shared" si="28"/>
        <v>0</v>
      </c>
      <c r="H283" s="10" t="b">
        <f>IF(ISERROR(VLOOKUP(E283,cuentas_pyme!C:C,1,FALSE)),FALSE,TRUE)</f>
        <v>1</v>
      </c>
      <c r="I283" s="10" t="s">
        <v>2807</v>
      </c>
      <c r="J283" s="11" t="s">
        <v>2808</v>
      </c>
      <c r="K283" s="10" t="str">
        <f t="shared" si="35"/>
        <v>1.A.2.2.1.431</v>
      </c>
      <c r="L283" s="10" t="str">
        <f t="shared" si="31"/>
        <v>1.A.2.2.1.431</v>
      </c>
      <c r="M283" s="12" t="s">
        <v>1816</v>
      </c>
      <c r="N283" t="s">
        <v>1578</v>
      </c>
      <c r="O283" t="str">
        <f t="shared" si="34"/>
        <v>1.A</v>
      </c>
    </row>
    <row r="284" spans="3:15" x14ac:dyDescent="0.25">
      <c r="C284" s="9">
        <v>330</v>
      </c>
      <c r="D284" s="16">
        <v>4311</v>
      </c>
      <c r="E284" s="10" t="str">
        <f t="shared" si="32"/>
        <v>4311</v>
      </c>
      <c r="F284" s="10" t="str">
        <f t="shared" si="33"/>
        <v>431</v>
      </c>
      <c r="G284" s="10">
        <f t="shared" si="28"/>
        <v>0</v>
      </c>
      <c r="H284" s="10" t="b">
        <f>IF(ISERROR(VLOOKUP(E284,cuentas_pyme!C:C,1,FALSE)),FALSE,TRUE)</f>
        <v>1</v>
      </c>
      <c r="I284" s="10" t="s">
        <v>2807</v>
      </c>
      <c r="J284" s="11" t="s">
        <v>2809</v>
      </c>
      <c r="K284" s="10" t="str">
        <f t="shared" si="35"/>
        <v>1.A.2.2.1.431</v>
      </c>
      <c r="L284" s="10" t="str">
        <f t="shared" si="31"/>
        <v>1.A.2.2.1.431</v>
      </c>
      <c r="M284" s="12" t="s">
        <v>1817</v>
      </c>
      <c r="N284" t="s">
        <v>1578</v>
      </c>
      <c r="O284" t="str">
        <f t="shared" si="34"/>
        <v>1.A</v>
      </c>
    </row>
    <row r="285" spans="3:15" x14ac:dyDescent="0.25">
      <c r="C285" s="9">
        <v>331</v>
      </c>
      <c r="D285" s="16">
        <v>4312</v>
      </c>
      <c r="E285" s="10" t="str">
        <f t="shared" si="32"/>
        <v>4312</v>
      </c>
      <c r="F285" s="10" t="str">
        <f t="shared" si="33"/>
        <v>431</v>
      </c>
      <c r="G285" s="10">
        <f t="shared" si="28"/>
        <v>0</v>
      </c>
      <c r="H285" s="10" t="b">
        <f>IF(ISERROR(VLOOKUP(E285,cuentas_pyme!C:C,1,FALSE)),FALSE,TRUE)</f>
        <v>1</v>
      </c>
      <c r="I285" s="10" t="s">
        <v>2807</v>
      </c>
      <c r="J285" s="11" t="s">
        <v>2810</v>
      </c>
      <c r="K285" s="10" t="str">
        <f t="shared" si="35"/>
        <v>1.A.2.2.1.431</v>
      </c>
      <c r="L285" s="10" t="str">
        <f t="shared" si="31"/>
        <v>1.A.2.2.1.431</v>
      </c>
      <c r="M285" s="12" t="s">
        <v>1818</v>
      </c>
      <c r="N285" t="s">
        <v>1578</v>
      </c>
      <c r="O285" t="str">
        <f t="shared" si="34"/>
        <v>1.A</v>
      </c>
    </row>
    <row r="286" spans="3:15" x14ac:dyDescent="0.25">
      <c r="C286" s="9">
        <v>332</v>
      </c>
      <c r="D286" s="16">
        <v>4315</v>
      </c>
      <c r="E286" s="10" t="str">
        <f t="shared" si="32"/>
        <v>4315</v>
      </c>
      <c r="F286" s="10" t="str">
        <f t="shared" si="33"/>
        <v>431</v>
      </c>
      <c r="G286" s="10">
        <f t="shared" si="28"/>
        <v>0</v>
      </c>
      <c r="H286" s="10" t="b">
        <f>IF(ISERROR(VLOOKUP(E286,cuentas_pyme!C:C,1,FALSE)),FALSE,TRUE)</f>
        <v>1</v>
      </c>
      <c r="I286" s="10" t="s">
        <v>2807</v>
      </c>
      <c r="J286" s="11" t="s">
        <v>2811</v>
      </c>
      <c r="K286" s="10" t="str">
        <f t="shared" si="35"/>
        <v>1.A.2.2.1.431</v>
      </c>
      <c r="L286" s="10" t="str">
        <f t="shared" si="31"/>
        <v>1.A.2.2.1.431</v>
      </c>
      <c r="M286" s="12" t="s">
        <v>1819</v>
      </c>
      <c r="N286" t="s">
        <v>1578</v>
      </c>
      <c r="O286" t="str">
        <f t="shared" si="34"/>
        <v>1.A</v>
      </c>
    </row>
    <row r="287" spans="3:15" x14ac:dyDescent="0.25">
      <c r="C287" s="9">
        <v>333</v>
      </c>
      <c r="D287" s="16">
        <v>432</v>
      </c>
      <c r="E287" s="10" t="str">
        <f t="shared" si="32"/>
        <v>432</v>
      </c>
      <c r="F287" s="10" t="str">
        <f t="shared" si="33"/>
        <v>43</v>
      </c>
      <c r="G287" s="10">
        <f t="shared" si="28"/>
        <v>0</v>
      </c>
      <c r="H287" s="10" t="b">
        <f>IF(ISERROR(VLOOKUP(E287,cuentas_pyme!C:C,1,FALSE)),FALSE,TRUE)</f>
        <v>1</v>
      </c>
      <c r="I287" s="10" t="str">
        <f>VLOOKUP(D287,cuentas_balance!C:I,7,FALSE)</f>
        <v>1.A.2.2.1</v>
      </c>
      <c r="J287" s="11" t="str">
        <f t="shared" si="29"/>
        <v>1.A.2.2.1.432</v>
      </c>
      <c r="K287" s="10" t="str">
        <f t="shared" si="35"/>
        <v>1.A.2.2.1</v>
      </c>
      <c r="L287" s="10" t="str">
        <f t="shared" si="31"/>
        <v>1.A.2.2.1</v>
      </c>
      <c r="M287" s="12" t="s">
        <v>1820</v>
      </c>
      <c r="N287" t="s">
        <v>1578</v>
      </c>
      <c r="O287" t="str">
        <f t="shared" si="34"/>
        <v>1.A</v>
      </c>
    </row>
    <row r="288" spans="3:15" x14ac:dyDescent="0.25">
      <c r="C288" s="9">
        <v>334</v>
      </c>
      <c r="D288" s="16">
        <v>433</v>
      </c>
      <c r="E288" s="10" t="str">
        <f t="shared" si="32"/>
        <v>433</v>
      </c>
      <c r="F288" s="10" t="str">
        <f t="shared" si="33"/>
        <v>43</v>
      </c>
      <c r="G288" s="10">
        <f t="shared" si="28"/>
        <v>1</v>
      </c>
      <c r="H288" s="10" t="b">
        <f>IF(ISERROR(VLOOKUP(E288,cuentas_pyme!C:C,1,FALSE)),FALSE,TRUE)</f>
        <v>1</v>
      </c>
      <c r="I288" s="10" t="str">
        <f>VLOOKUP(D288,cuentas_balance!C:I,7,FALSE)</f>
        <v>1.A.2.2.1</v>
      </c>
      <c r="J288" s="11" t="str">
        <f t="shared" si="29"/>
        <v>1.A.2.2.1.433</v>
      </c>
      <c r="K288" s="10" t="str">
        <f t="shared" si="35"/>
        <v>1.A.2.2.1</v>
      </c>
      <c r="L288" s="10" t="str">
        <f t="shared" si="31"/>
        <v>1.A.2.2.1</v>
      </c>
      <c r="M288" s="12" t="s">
        <v>1821</v>
      </c>
      <c r="N288" t="s">
        <v>1578</v>
      </c>
      <c r="O288" t="str">
        <f t="shared" si="34"/>
        <v>1.A</v>
      </c>
    </row>
    <row r="289" spans="3:15" x14ac:dyDescent="0.25">
      <c r="C289" s="9">
        <v>335</v>
      </c>
      <c r="D289" s="16">
        <v>4330</v>
      </c>
      <c r="E289" s="10" t="str">
        <f t="shared" si="32"/>
        <v>4330</v>
      </c>
      <c r="F289" s="10" t="str">
        <f t="shared" si="33"/>
        <v>433</v>
      </c>
      <c r="G289" s="10">
        <f t="shared" si="28"/>
        <v>0</v>
      </c>
      <c r="H289" s="10" t="b">
        <f>IF(ISERROR(VLOOKUP(E289,cuentas_pyme!C:C,1,FALSE)),FALSE,TRUE)</f>
        <v>1</v>
      </c>
      <c r="I289" s="10" t="s">
        <v>2812</v>
      </c>
      <c r="J289" s="11" t="s">
        <v>2813</v>
      </c>
      <c r="K289" s="10" t="str">
        <f t="shared" si="35"/>
        <v>1.A.2.2.1.433</v>
      </c>
      <c r="L289" s="10" t="str">
        <f t="shared" si="31"/>
        <v>1.A.2.2.1.433</v>
      </c>
      <c r="M289" s="12" t="s">
        <v>1822</v>
      </c>
      <c r="N289" t="s">
        <v>1578</v>
      </c>
      <c r="O289" t="str">
        <f t="shared" si="34"/>
        <v>1.A</v>
      </c>
    </row>
    <row r="290" spans="3:15" x14ac:dyDescent="0.25">
      <c r="C290" s="9">
        <v>336</v>
      </c>
      <c r="D290" s="16">
        <v>4331</v>
      </c>
      <c r="E290" s="10" t="str">
        <f t="shared" si="32"/>
        <v>4331</v>
      </c>
      <c r="F290" s="10" t="str">
        <f t="shared" si="33"/>
        <v>433</v>
      </c>
      <c r="G290" s="10">
        <f t="shared" si="28"/>
        <v>0</v>
      </c>
      <c r="H290" s="10" t="b">
        <f>IF(ISERROR(VLOOKUP(E290,cuentas_pyme!C:C,1,FALSE)),FALSE,TRUE)</f>
        <v>1</v>
      </c>
      <c r="I290" s="10" t="s">
        <v>2812</v>
      </c>
      <c r="J290" s="11" t="s">
        <v>2814</v>
      </c>
      <c r="K290" s="10" t="str">
        <f t="shared" si="35"/>
        <v>1.A.2.2.1.433</v>
      </c>
      <c r="L290" s="10" t="str">
        <f t="shared" si="31"/>
        <v>1.A.2.2.1.433</v>
      </c>
      <c r="M290" s="12" t="s">
        <v>1823</v>
      </c>
      <c r="N290" t="s">
        <v>1578</v>
      </c>
      <c r="O290" t="str">
        <f t="shared" si="34"/>
        <v>1.A</v>
      </c>
    </row>
    <row r="291" spans="3:15" x14ac:dyDescent="0.25">
      <c r="C291" s="9">
        <v>337</v>
      </c>
      <c r="D291" s="16">
        <v>4332</v>
      </c>
      <c r="E291" s="10" t="str">
        <f t="shared" si="32"/>
        <v>4332</v>
      </c>
      <c r="F291" s="10" t="str">
        <f t="shared" si="33"/>
        <v>433</v>
      </c>
      <c r="G291" s="10">
        <f t="shared" si="28"/>
        <v>0</v>
      </c>
      <c r="H291" s="10" t="b">
        <f>IF(ISERROR(VLOOKUP(E291,cuentas_pyme!C:C,1,FALSE)),FALSE,TRUE)</f>
        <v>1</v>
      </c>
      <c r="I291" s="10" t="s">
        <v>2812</v>
      </c>
      <c r="J291" s="11" t="s">
        <v>2815</v>
      </c>
      <c r="K291" s="10" t="str">
        <f t="shared" si="35"/>
        <v>1.A.2.2.1.433</v>
      </c>
      <c r="L291" s="10" t="str">
        <f t="shared" si="31"/>
        <v>1.A.2.2.1.433</v>
      </c>
      <c r="M291" s="12" t="s">
        <v>1824</v>
      </c>
      <c r="N291" t="s">
        <v>1578</v>
      </c>
      <c r="O291" t="str">
        <f t="shared" si="34"/>
        <v>1.A</v>
      </c>
    </row>
    <row r="292" spans="3:15" x14ac:dyDescent="0.25">
      <c r="C292" s="9">
        <v>338</v>
      </c>
      <c r="D292" s="16">
        <v>4334</v>
      </c>
      <c r="E292" s="10" t="str">
        <f t="shared" si="32"/>
        <v>4334</v>
      </c>
      <c r="F292" s="10" t="str">
        <f t="shared" si="33"/>
        <v>433</v>
      </c>
      <c r="G292" s="10">
        <f t="shared" si="28"/>
        <v>0</v>
      </c>
      <c r="H292" s="10" t="b">
        <f>IF(ISERROR(VLOOKUP(E292,cuentas_pyme!C:C,1,FALSE)),FALSE,TRUE)</f>
        <v>1</v>
      </c>
      <c r="I292" s="10" t="s">
        <v>2812</v>
      </c>
      <c r="J292" s="11" t="s">
        <v>2816</v>
      </c>
      <c r="K292" s="10" t="str">
        <f t="shared" si="35"/>
        <v>1.A.2.2.1.433</v>
      </c>
      <c r="L292" s="10" t="str">
        <f t="shared" si="31"/>
        <v>1.A.2.2.1.433</v>
      </c>
      <c r="M292" s="12" t="s">
        <v>1825</v>
      </c>
      <c r="N292" t="s">
        <v>1578</v>
      </c>
      <c r="O292" t="str">
        <f t="shared" si="34"/>
        <v>1.A</v>
      </c>
    </row>
    <row r="293" spans="3:15" x14ac:dyDescent="0.25">
      <c r="C293" s="9">
        <v>339</v>
      </c>
      <c r="D293" s="16">
        <v>4336</v>
      </c>
      <c r="E293" s="10" t="str">
        <f t="shared" si="32"/>
        <v>4336</v>
      </c>
      <c r="F293" s="10" t="str">
        <f t="shared" si="33"/>
        <v>433</v>
      </c>
      <c r="G293" s="10">
        <f t="shared" si="28"/>
        <v>0</v>
      </c>
      <c r="H293" s="10" t="b">
        <f>IF(ISERROR(VLOOKUP(E293,cuentas_pyme!C:C,1,FALSE)),FALSE,TRUE)</f>
        <v>1</v>
      </c>
      <c r="I293" s="10" t="s">
        <v>2812</v>
      </c>
      <c r="J293" s="11" t="s">
        <v>2817</v>
      </c>
      <c r="K293" s="10" t="str">
        <f t="shared" si="35"/>
        <v>1.A.2.2.1.433</v>
      </c>
      <c r="L293" s="10" t="str">
        <f t="shared" si="31"/>
        <v>1.A.2.2.1.433</v>
      </c>
      <c r="M293" s="12" t="s">
        <v>1826</v>
      </c>
      <c r="N293" t="s">
        <v>1578</v>
      </c>
      <c r="O293" t="str">
        <f t="shared" si="34"/>
        <v>1.A</v>
      </c>
    </row>
    <row r="294" spans="3:15" x14ac:dyDescent="0.25">
      <c r="C294" s="9">
        <v>340</v>
      </c>
      <c r="D294" s="16">
        <v>4337</v>
      </c>
      <c r="E294" s="10" t="str">
        <f t="shared" si="32"/>
        <v>4337</v>
      </c>
      <c r="F294" s="10" t="str">
        <f t="shared" si="33"/>
        <v>433</v>
      </c>
      <c r="G294" s="10">
        <f t="shared" si="28"/>
        <v>0</v>
      </c>
      <c r="H294" s="10" t="b">
        <f>IF(ISERROR(VLOOKUP(E294,cuentas_pyme!C:C,1,FALSE)),FALSE,TRUE)</f>
        <v>1</v>
      </c>
      <c r="I294" s="10" t="s">
        <v>2812</v>
      </c>
      <c r="J294" s="11" t="s">
        <v>2818</v>
      </c>
      <c r="K294" s="10" t="str">
        <f t="shared" si="35"/>
        <v>1.A.2.2.1.433</v>
      </c>
      <c r="L294" s="10" t="str">
        <f t="shared" si="31"/>
        <v>1.A.2.2.1.433</v>
      </c>
      <c r="M294" s="12" t="s">
        <v>1827</v>
      </c>
      <c r="N294" t="s">
        <v>1578</v>
      </c>
      <c r="O294" t="str">
        <f t="shared" si="34"/>
        <v>1.A</v>
      </c>
    </row>
    <row r="295" spans="3:15" x14ac:dyDescent="0.25">
      <c r="C295" s="9">
        <v>341</v>
      </c>
      <c r="D295" s="16">
        <v>4339</v>
      </c>
      <c r="E295" s="10" t="str">
        <f t="shared" si="32"/>
        <v>4339</v>
      </c>
      <c r="F295" s="10" t="str">
        <f t="shared" si="33"/>
        <v>433</v>
      </c>
      <c r="G295" s="10">
        <f t="shared" si="28"/>
        <v>0</v>
      </c>
      <c r="H295" s="10" t="b">
        <f>IF(ISERROR(VLOOKUP(E295,cuentas_pyme!C:C,1,FALSE)),FALSE,TRUE)</f>
        <v>1</v>
      </c>
      <c r="I295" s="10" t="s">
        <v>2812</v>
      </c>
      <c r="J295" s="11" t="s">
        <v>2819</v>
      </c>
      <c r="K295" s="10" t="str">
        <f t="shared" si="35"/>
        <v>1.A.2.2.1.433</v>
      </c>
      <c r="L295" s="10" t="str">
        <f t="shared" si="31"/>
        <v>1.A.2.2.1.433</v>
      </c>
      <c r="M295" s="12" t="s">
        <v>1828</v>
      </c>
      <c r="N295" t="s">
        <v>1578</v>
      </c>
      <c r="O295" t="str">
        <f t="shared" si="34"/>
        <v>1.A</v>
      </c>
    </row>
    <row r="296" spans="3:15" x14ac:dyDescent="0.25">
      <c r="C296" s="9">
        <v>342</v>
      </c>
      <c r="D296" s="16">
        <v>434</v>
      </c>
      <c r="E296" s="10" t="str">
        <f t="shared" si="32"/>
        <v>434</v>
      </c>
      <c r="F296" s="10" t="str">
        <f t="shared" si="33"/>
        <v>43</v>
      </c>
      <c r="G296" s="10">
        <f t="shared" si="28"/>
        <v>0</v>
      </c>
      <c r="H296" s="10" t="b">
        <f>IF(ISERROR(VLOOKUP(E296,cuentas_pyme!C:C,1,FALSE)),FALSE,TRUE)</f>
        <v>1</v>
      </c>
      <c r="I296" s="10" t="str">
        <f>VLOOKUP(D296,cuentas_balance!C:I,7,FALSE)</f>
        <v>1.A.2.2.1</v>
      </c>
      <c r="J296" s="11" t="str">
        <f t="shared" si="29"/>
        <v>1.A.2.2.1.434</v>
      </c>
      <c r="K296" s="10" t="str">
        <f t="shared" si="35"/>
        <v>1.A.2.2.1</v>
      </c>
      <c r="L296" s="10" t="str">
        <f t="shared" si="31"/>
        <v>1.A.2.2.1</v>
      </c>
      <c r="M296" s="12" t="s">
        <v>1829</v>
      </c>
      <c r="N296" t="s">
        <v>1578</v>
      </c>
      <c r="O296" t="str">
        <f t="shared" si="34"/>
        <v>1.A</v>
      </c>
    </row>
    <row r="297" spans="3:15" x14ac:dyDescent="0.25">
      <c r="C297" s="9">
        <v>343</v>
      </c>
      <c r="D297" s="16">
        <v>435</v>
      </c>
      <c r="E297" s="10" t="str">
        <f t="shared" si="32"/>
        <v>435</v>
      </c>
      <c r="F297" s="10" t="str">
        <f t="shared" si="33"/>
        <v>43</v>
      </c>
      <c r="G297" s="10">
        <f t="shared" si="28"/>
        <v>0</v>
      </c>
      <c r="H297" s="10" t="b">
        <f>IF(ISERROR(VLOOKUP(E297,cuentas_pyme!C:C,1,FALSE)),FALSE,TRUE)</f>
        <v>1</v>
      </c>
      <c r="I297" s="10" t="str">
        <f>VLOOKUP(D297,cuentas_balance!C:I,7,FALSE)</f>
        <v>1.A.2.2.1</v>
      </c>
      <c r="J297" s="11" t="str">
        <f t="shared" si="29"/>
        <v>1.A.2.2.1.435</v>
      </c>
      <c r="K297" s="10" t="str">
        <f t="shared" si="35"/>
        <v>1.A.2.2.1</v>
      </c>
      <c r="L297" s="10" t="str">
        <f t="shared" si="31"/>
        <v>1.A.2.2.1</v>
      </c>
      <c r="M297" s="12" t="s">
        <v>1830</v>
      </c>
      <c r="N297" t="s">
        <v>1578</v>
      </c>
      <c r="O297" t="str">
        <f t="shared" si="34"/>
        <v>1.A</v>
      </c>
    </row>
    <row r="298" spans="3:15" x14ac:dyDescent="0.25">
      <c r="C298" s="9">
        <v>344</v>
      </c>
      <c r="D298" s="16">
        <v>436</v>
      </c>
      <c r="E298" s="10" t="str">
        <f t="shared" si="32"/>
        <v>436</v>
      </c>
      <c r="F298" s="10" t="str">
        <f t="shared" si="33"/>
        <v>43</v>
      </c>
      <c r="G298" s="10">
        <f t="shared" si="28"/>
        <v>0</v>
      </c>
      <c r="H298" s="10" t="b">
        <f>IF(ISERROR(VLOOKUP(E298,cuentas_pyme!C:C,1,FALSE)),FALSE,TRUE)</f>
        <v>1</v>
      </c>
      <c r="I298" s="10" t="str">
        <f>VLOOKUP(D298,cuentas_balance!C:I,7,FALSE)</f>
        <v>1.A.2.2.1</v>
      </c>
      <c r="J298" s="11" t="str">
        <f t="shared" si="29"/>
        <v>1.A.2.2.1.436</v>
      </c>
      <c r="K298" s="10" t="str">
        <f t="shared" si="35"/>
        <v>1.A.2.2.1</v>
      </c>
      <c r="L298" s="10" t="str">
        <f t="shared" si="31"/>
        <v>1.A.2.2.1</v>
      </c>
      <c r="M298" s="12" t="s">
        <v>1831</v>
      </c>
      <c r="N298" t="s">
        <v>1578</v>
      </c>
      <c r="O298" t="str">
        <f t="shared" si="34"/>
        <v>1.A</v>
      </c>
    </row>
    <row r="299" spans="3:15" x14ac:dyDescent="0.25">
      <c r="C299" s="9">
        <v>345</v>
      </c>
      <c r="D299" s="16">
        <v>437</v>
      </c>
      <c r="E299" s="10" t="str">
        <f t="shared" si="32"/>
        <v>437</v>
      </c>
      <c r="F299" s="10" t="str">
        <f t="shared" si="33"/>
        <v>43</v>
      </c>
      <c r="G299" s="10">
        <f t="shared" si="28"/>
        <v>0</v>
      </c>
      <c r="H299" s="10" t="b">
        <f>IF(ISERROR(VLOOKUP(E299,cuentas_pyme!C:C,1,FALSE)),FALSE,TRUE)</f>
        <v>1</v>
      </c>
      <c r="I299" s="10" t="str">
        <f>VLOOKUP(D299,cuentas_balance!C:I,7,FALSE)</f>
        <v>1.A.2.2.1</v>
      </c>
      <c r="J299" s="11" t="str">
        <f t="shared" si="29"/>
        <v>1.A.2.2.1.437</v>
      </c>
      <c r="K299" s="10" t="str">
        <f t="shared" si="35"/>
        <v>1.A.2.2.1</v>
      </c>
      <c r="L299" s="10" t="str">
        <f t="shared" si="31"/>
        <v>1.A.2.2.1</v>
      </c>
      <c r="M299" s="12" t="s">
        <v>1832</v>
      </c>
      <c r="N299" t="s">
        <v>1578</v>
      </c>
      <c r="O299" t="str">
        <f t="shared" si="34"/>
        <v>1.A</v>
      </c>
    </row>
    <row r="300" spans="3:15" x14ac:dyDescent="0.25">
      <c r="C300" s="9">
        <v>346</v>
      </c>
      <c r="D300" s="16">
        <v>438</v>
      </c>
      <c r="E300" s="10" t="str">
        <f t="shared" si="32"/>
        <v>438</v>
      </c>
      <c r="F300" s="10" t="str">
        <f t="shared" si="33"/>
        <v>43</v>
      </c>
      <c r="G300" s="10">
        <f t="shared" si="28"/>
        <v>0</v>
      </c>
      <c r="H300" s="10" t="b">
        <f>IF(ISERROR(VLOOKUP(E300,cuentas_pyme!C:C,1,FALSE)),FALSE,TRUE)</f>
        <v>1</v>
      </c>
      <c r="I300" s="10" t="str">
        <f>VLOOKUP(D300,cuentas_balance!C:I,7,FALSE)</f>
        <v>2.P.2.4.2</v>
      </c>
      <c r="J300" s="11" t="str">
        <f t="shared" si="29"/>
        <v>2.P.2.4.2.438</v>
      </c>
      <c r="K300" s="10" t="str">
        <f t="shared" si="35"/>
        <v>2.P.2.4.2</v>
      </c>
      <c r="L300" s="10" t="str">
        <f t="shared" si="31"/>
        <v>2.P.2.4.2</v>
      </c>
      <c r="M300" s="12" t="s">
        <v>1833</v>
      </c>
      <c r="N300" t="s">
        <v>1578</v>
      </c>
      <c r="O300" t="str">
        <f t="shared" si="34"/>
        <v>1.A</v>
      </c>
    </row>
    <row r="301" spans="3:15" x14ac:dyDescent="0.25">
      <c r="C301" s="9">
        <v>347</v>
      </c>
      <c r="D301" s="16">
        <v>44</v>
      </c>
      <c r="E301" s="10" t="str">
        <f t="shared" si="32"/>
        <v>44</v>
      </c>
      <c r="F301" s="10" t="str">
        <f t="shared" si="33"/>
        <v>4</v>
      </c>
      <c r="G301" s="10">
        <f t="shared" si="28"/>
        <v>1</v>
      </c>
      <c r="H301" s="10" t="b">
        <f>IF(ISERROR(VLOOKUP(E301,cuentas_pyme!C:C,1,FALSE)),FALSE,TRUE)</f>
        <v>1</v>
      </c>
      <c r="I301" s="10" t="str">
        <f>VLOOKUP(D301,cuentas_balance!C:I,7,FALSE)</f>
        <v>1.A.2.2.3</v>
      </c>
      <c r="J301" s="11" t="str">
        <f t="shared" si="29"/>
        <v>1.A.2.2.3.44</v>
      </c>
      <c r="K301" s="10" t="str">
        <f t="shared" si="35"/>
        <v>1.A.2.2.3</v>
      </c>
      <c r="L301" s="10" t="str">
        <f t="shared" si="31"/>
        <v>1.A.2.2.3</v>
      </c>
      <c r="M301" s="12" t="s">
        <v>3080</v>
      </c>
      <c r="N301" t="s">
        <v>1578</v>
      </c>
      <c r="O301" t="str">
        <f t="shared" si="34"/>
        <v>1.A</v>
      </c>
    </row>
    <row r="302" spans="3:15" x14ac:dyDescent="0.25">
      <c r="C302" s="9">
        <v>348</v>
      </c>
      <c r="D302" s="16">
        <v>440</v>
      </c>
      <c r="E302" s="10" t="str">
        <f t="shared" si="32"/>
        <v>440</v>
      </c>
      <c r="F302" s="10" t="str">
        <f t="shared" si="33"/>
        <v>44</v>
      </c>
      <c r="G302" s="10">
        <f t="shared" si="28"/>
        <v>1</v>
      </c>
      <c r="H302" s="10" t="b">
        <f>IF(ISERROR(VLOOKUP(E302,cuentas_pyme!C:C,1,FALSE)),FALSE,TRUE)</f>
        <v>1</v>
      </c>
      <c r="I302" s="10" t="str">
        <f>J301</f>
        <v>1.A.2.2.3.44</v>
      </c>
      <c r="J302" s="11" t="s">
        <v>2820</v>
      </c>
      <c r="K302" s="10" t="str">
        <f t="shared" si="35"/>
        <v>1.A.2.2.3.44</v>
      </c>
      <c r="L302" s="10" t="str">
        <f t="shared" si="31"/>
        <v>1.A.2.2.3.44</v>
      </c>
      <c r="M302" s="12" t="s">
        <v>1834</v>
      </c>
      <c r="N302" t="s">
        <v>1578</v>
      </c>
      <c r="O302" t="str">
        <f t="shared" si="34"/>
        <v>1.A</v>
      </c>
    </row>
    <row r="303" spans="3:15" x14ac:dyDescent="0.25">
      <c r="C303" s="9">
        <v>349</v>
      </c>
      <c r="D303" s="16">
        <v>4400</v>
      </c>
      <c r="E303" s="10" t="str">
        <f t="shared" si="32"/>
        <v>4400</v>
      </c>
      <c r="F303" s="10" t="str">
        <f t="shared" si="33"/>
        <v>440</v>
      </c>
      <c r="G303" s="10">
        <f t="shared" si="28"/>
        <v>0</v>
      </c>
      <c r="H303" s="10" t="b">
        <f>IF(ISERROR(VLOOKUP(E303,cuentas_pyme!C:C,1,FALSE)),FALSE,TRUE)</f>
        <v>1</v>
      </c>
      <c r="I303" s="10" t="s">
        <v>2820</v>
      </c>
      <c r="J303" s="11" t="s">
        <v>2823</v>
      </c>
      <c r="K303" s="10" t="str">
        <f t="shared" si="35"/>
        <v>1.A.2.2.3.440</v>
      </c>
      <c r="L303" s="10" t="str">
        <f t="shared" si="31"/>
        <v>1.A.2.2.3.440</v>
      </c>
      <c r="M303" s="12" t="s">
        <v>1835</v>
      </c>
      <c r="N303" t="s">
        <v>1578</v>
      </c>
      <c r="O303" t="str">
        <f t="shared" si="34"/>
        <v>1.A</v>
      </c>
    </row>
    <row r="304" spans="3:15" x14ac:dyDescent="0.25">
      <c r="C304" s="9">
        <v>350</v>
      </c>
      <c r="D304" s="16">
        <v>4404</v>
      </c>
      <c r="E304" s="10" t="str">
        <f t="shared" si="32"/>
        <v>4404</v>
      </c>
      <c r="F304" s="10" t="str">
        <f t="shared" si="33"/>
        <v>440</v>
      </c>
      <c r="G304" s="10">
        <f t="shared" si="28"/>
        <v>0</v>
      </c>
      <c r="H304" s="10" t="b">
        <f>IF(ISERROR(VLOOKUP(E304,cuentas_pyme!C:C,1,FALSE)),FALSE,TRUE)</f>
        <v>1</v>
      </c>
      <c r="I304" s="10" t="s">
        <v>2820</v>
      </c>
      <c r="J304" s="11" t="s">
        <v>2824</v>
      </c>
      <c r="K304" s="10" t="str">
        <f t="shared" si="35"/>
        <v>1.A.2.2.3.440</v>
      </c>
      <c r="L304" s="10" t="str">
        <f t="shared" si="31"/>
        <v>1.A.2.2.3.440</v>
      </c>
      <c r="M304" s="12" t="s">
        <v>1836</v>
      </c>
      <c r="N304" t="s">
        <v>1578</v>
      </c>
      <c r="O304" t="str">
        <f t="shared" si="34"/>
        <v>1.A</v>
      </c>
    </row>
    <row r="305" spans="3:15" x14ac:dyDescent="0.25">
      <c r="C305" s="9">
        <v>351</v>
      </c>
      <c r="D305" s="16">
        <v>4409</v>
      </c>
      <c r="E305" s="10" t="str">
        <f t="shared" si="32"/>
        <v>4409</v>
      </c>
      <c r="F305" s="10" t="str">
        <f t="shared" si="33"/>
        <v>440</v>
      </c>
      <c r="G305" s="10">
        <f t="shared" si="28"/>
        <v>0</v>
      </c>
      <c r="H305" s="10" t="b">
        <f>IF(ISERROR(VLOOKUP(E305,cuentas_pyme!C:C,1,FALSE)),FALSE,TRUE)</f>
        <v>1</v>
      </c>
      <c r="I305" s="10" t="s">
        <v>2820</v>
      </c>
      <c r="J305" s="11" t="s">
        <v>2825</v>
      </c>
      <c r="K305" s="10" t="str">
        <f t="shared" si="35"/>
        <v>1.A.2.2.3.440</v>
      </c>
      <c r="L305" s="10" t="str">
        <f t="shared" si="31"/>
        <v>1.A.2.2.3.440</v>
      </c>
      <c r="M305" s="12" t="s">
        <v>1837</v>
      </c>
      <c r="N305" t="s">
        <v>1578</v>
      </c>
      <c r="O305" t="str">
        <f t="shared" si="34"/>
        <v>1.A</v>
      </c>
    </row>
    <row r="306" spans="3:15" x14ac:dyDescent="0.25">
      <c r="C306" s="9">
        <v>352</v>
      </c>
      <c r="D306" s="16">
        <v>441</v>
      </c>
      <c r="E306" s="10" t="str">
        <f t="shared" si="32"/>
        <v>441</v>
      </c>
      <c r="F306" s="10" t="str">
        <f t="shared" si="33"/>
        <v>44</v>
      </c>
      <c r="G306" s="10">
        <f t="shared" si="28"/>
        <v>1</v>
      </c>
      <c r="H306" s="10" t="b">
        <f>IF(ISERROR(VLOOKUP(E306,cuentas_pyme!C:C,1,FALSE)),FALSE,TRUE)</f>
        <v>1</v>
      </c>
      <c r="I306" s="10" t="str">
        <f>J301</f>
        <v>1.A.2.2.3.44</v>
      </c>
      <c r="J306" s="11" t="s">
        <v>2821</v>
      </c>
      <c r="K306" s="10" t="str">
        <f t="shared" si="35"/>
        <v>1.A.2.2.3.44</v>
      </c>
      <c r="L306" s="10" t="str">
        <f t="shared" si="31"/>
        <v>1.A.2.2.3.44</v>
      </c>
      <c r="M306" s="12" t="s">
        <v>1838</v>
      </c>
      <c r="N306" t="s">
        <v>1578</v>
      </c>
      <c r="O306" t="str">
        <f t="shared" si="34"/>
        <v>1.A</v>
      </c>
    </row>
    <row r="307" spans="3:15" x14ac:dyDescent="0.25">
      <c r="C307" s="9">
        <v>353</v>
      </c>
      <c r="D307" s="16">
        <v>4410</v>
      </c>
      <c r="E307" s="10" t="str">
        <f t="shared" si="32"/>
        <v>4410</v>
      </c>
      <c r="F307" s="10" t="str">
        <f t="shared" si="33"/>
        <v>441</v>
      </c>
      <c r="G307" s="10">
        <f t="shared" si="28"/>
        <v>0</v>
      </c>
      <c r="H307" s="10" t="b">
        <f>IF(ISERROR(VLOOKUP(E307,cuentas_pyme!C:C,1,FALSE)),FALSE,TRUE)</f>
        <v>1</v>
      </c>
      <c r="I307" s="10" t="s">
        <v>2821</v>
      </c>
      <c r="J307" s="11" t="s">
        <v>2826</v>
      </c>
      <c r="K307" s="10" t="str">
        <f t="shared" si="35"/>
        <v>1.A.2.2.3.441</v>
      </c>
      <c r="L307" s="10" t="str">
        <f t="shared" si="31"/>
        <v>1.A.2.2.3.441</v>
      </c>
      <c r="M307" s="12" t="s">
        <v>1839</v>
      </c>
      <c r="N307" t="s">
        <v>1578</v>
      </c>
      <c r="O307" t="str">
        <f t="shared" si="34"/>
        <v>1.A</v>
      </c>
    </row>
    <row r="308" spans="3:15" x14ac:dyDescent="0.25">
      <c r="C308" s="9">
        <v>354</v>
      </c>
      <c r="D308" s="16">
        <v>4411</v>
      </c>
      <c r="E308" s="10" t="str">
        <f t="shared" si="32"/>
        <v>4411</v>
      </c>
      <c r="F308" s="10" t="str">
        <f t="shared" si="33"/>
        <v>441</v>
      </c>
      <c r="G308" s="10">
        <f t="shared" si="28"/>
        <v>0</v>
      </c>
      <c r="H308" s="10" t="b">
        <f>IF(ISERROR(VLOOKUP(E308,cuentas_pyme!C:C,1,FALSE)),FALSE,TRUE)</f>
        <v>1</v>
      </c>
      <c r="I308" s="10" t="s">
        <v>2821</v>
      </c>
      <c r="J308" s="11" t="s">
        <v>2827</v>
      </c>
      <c r="K308" s="10" t="str">
        <f t="shared" si="35"/>
        <v>1.A.2.2.3.441</v>
      </c>
      <c r="L308" s="10" t="str">
        <f t="shared" si="31"/>
        <v>1.A.2.2.3.441</v>
      </c>
      <c r="M308" s="12" t="s">
        <v>1840</v>
      </c>
      <c r="N308" t="s">
        <v>1578</v>
      </c>
      <c r="O308" t="str">
        <f t="shared" si="34"/>
        <v>1.A</v>
      </c>
    </row>
    <row r="309" spans="3:15" x14ac:dyDescent="0.25">
      <c r="C309" s="9">
        <v>355</v>
      </c>
      <c r="D309" s="16">
        <v>4412</v>
      </c>
      <c r="E309" s="10" t="str">
        <f t="shared" si="32"/>
        <v>4412</v>
      </c>
      <c r="F309" s="10" t="str">
        <f t="shared" si="33"/>
        <v>441</v>
      </c>
      <c r="G309" s="10">
        <f t="shared" si="28"/>
        <v>0</v>
      </c>
      <c r="H309" s="10" t="b">
        <f>IF(ISERROR(VLOOKUP(E309,cuentas_pyme!C:C,1,FALSE)),FALSE,TRUE)</f>
        <v>1</v>
      </c>
      <c r="I309" s="10" t="s">
        <v>2821</v>
      </c>
      <c r="J309" s="11" t="s">
        <v>2828</v>
      </c>
      <c r="K309" s="10" t="str">
        <f t="shared" si="35"/>
        <v>1.A.2.2.3.441</v>
      </c>
      <c r="L309" s="10" t="str">
        <f t="shared" si="31"/>
        <v>1.A.2.2.3.441</v>
      </c>
      <c r="M309" s="12" t="s">
        <v>1841</v>
      </c>
      <c r="N309" t="s">
        <v>1578</v>
      </c>
      <c r="O309" t="str">
        <f t="shared" si="34"/>
        <v>1.A</v>
      </c>
    </row>
    <row r="310" spans="3:15" x14ac:dyDescent="0.25">
      <c r="C310" s="9">
        <v>356</v>
      </c>
      <c r="D310" s="16">
        <v>4415</v>
      </c>
      <c r="E310" s="10" t="str">
        <f t="shared" si="32"/>
        <v>4415</v>
      </c>
      <c r="F310" s="10" t="str">
        <f t="shared" si="33"/>
        <v>441</v>
      </c>
      <c r="G310" s="10">
        <f t="shared" si="28"/>
        <v>0</v>
      </c>
      <c r="H310" s="10" t="b">
        <f>IF(ISERROR(VLOOKUP(E310,cuentas_pyme!C:C,1,FALSE)),FALSE,TRUE)</f>
        <v>1</v>
      </c>
      <c r="I310" s="10" t="s">
        <v>2821</v>
      </c>
      <c r="J310" s="11" t="s">
        <v>2829</v>
      </c>
      <c r="K310" s="10" t="str">
        <f t="shared" si="35"/>
        <v>1.A.2.2.3.441</v>
      </c>
      <c r="L310" s="10" t="str">
        <f t="shared" si="31"/>
        <v>1.A.2.2.3.441</v>
      </c>
      <c r="M310" s="12" t="s">
        <v>1842</v>
      </c>
      <c r="N310" t="s">
        <v>1578</v>
      </c>
      <c r="O310" t="str">
        <f t="shared" si="34"/>
        <v>1.A</v>
      </c>
    </row>
    <row r="311" spans="3:15" x14ac:dyDescent="0.25">
      <c r="C311" s="9">
        <v>360</v>
      </c>
      <c r="D311" s="16">
        <v>460</v>
      </c>
      <c r="E311" s="10" t="str">
        <f t="shared" si="32"/>
        <v>460</v>
      </c>
      <c r="F311" s="10" t="str">
        <f t="shared" si="33"/>
        <v>46</v>
      </c>
      <c r="G311" s="10">
        <f t="shared" si="28"/>
        <v>0</v>
      </c>
      <c r="H311" s="10" t="b">
        <f>IF(ISERROR(VLOOKUP(E311,cuentas_pyme!C:C,1,FALSE)),FALSE,TRUE)</f>
        <v>1</v>
      </c>
      <c r="I311" s="10" t="str">
        <f>VLOOKUP(D311,cuentas_balance!C:I,7,FALSE)</f>
        <v>1.A.2.2.3</v>
      </c>
      <c r="J311" s="11" t="str">
        <f t="shared" si="29"/>
        <v>1.A.2.2.3.460</v>
      </c>
      <c r="K311" s="10" t="str">
        <f t="shared" si="35"/>
        <v>1.A.2.2.3</v>
      </c>
      <c r="L311" s="10" t="str">
        <f t="shared" si="31"/>
        <v>1.A.2.2.3</v>
      </c>
      <c r="M311" s="12" t="s">
        <v>1843</v>
      </c>
      <c r="N311" t="s">
        <v>1578</v>
      </c>
      <c r="O311" t="str">
        <f t="shared" si="34"/>
        <v>1.A</v>
      </c>
    </row>
    <row r="312" spans="3:15" x14ac:dyDescent="0.25">
      <c r="C312" s="9">
        <v>361</v>
      </c>
      <c r="D312" s="16">
        <v>465</v>
      </c>
      <c r="E312" s="10" t="str">
        <f t="shared" si="32"/>
        <v>465</v>
      </c>
      <c r="F312" s="10" t="str">
        <f t="shared" si="33"/>
        <v>46</v>
      </c>
      <c r="G312" s="10">
        <f t="shared" si="28"/>
        <v>0</v>
      </c>
      <c r="H312" s="10" t="b">
        <f>IF(ISERROR(VLOOKUP(E312,cuentas_pyme!C:C,1,FALSE)),FALSE,TRUE)</f>
        <v>1</v>
      </c>
      <c r="I312" s="10" t="str">
        <f>VLOOKUP(D312,cuentas_balance!C:I,7,FALSE)</f>
        <v>2.P.2.4.2</v>
      </c>
      <c r="J312" s="11" t="str">
        <f t="shared" si="29"/>
        <v>2.P.2.4.2.465</v>
      </c>
      <c r="K312" s="10" t="str">
        <f t="shared" si="35"/>
        <v>2.P.2.4.2</v>
      </c>
      <c r="L312" s="10" t="str">
        <f t="shared" si="31"/>
        <v>2.P.2.4.2</v>
      </c>
      <c r="M312" s="12" t="s">
        <v>1844</v>
      </c>
      <c r="N312" t="s">
        <v>1581</v>
      </c>
      <c r="O312" t="str">
        <f t="shared" si="34"/>
        <v>2.P</v>
      </c>
    </row>
    <row r="313" spans="3:15" x14ac:dyDescent="0.25">
      <c r="C313" s="9">
        <v>364</v>
      </c>
      <c r="D313" s="16">
        <v>470</v>
      </c>
      <c r="E313" s="10" t="str">
        <f t="shared" si="32"/>
        <v>470</v>
      </c>
      <c r="F313" s="10" t="str">
        <f t="shared" si="33"/>
        <v>47</v>
      </c>
      <c r="G313" s="10">
        <f t="shared" si="28"/>
        <v>1</v>
      </c>
      <c r="H313" s="10" t="b">
        <f>IF(ISERROR(VLOOKUP(E313,cuentas_pyme!C:C,1,FALSE)),FALSE,TRUE)</f>
        <v>1</v>
      </c>
      <c r="I313" s="10" t="str">
        <f>VLOOKUP(D313,cuentas_balance!C:I,7,FALSE)</f>
        <v>1.A.2.2.3</v>
      </c>
      <c r="J313" s="11" t="str">
        <f t="shared" si="29"/>
        <v>1.A.2.2.3.470</v>
      </c>
      <c r="K313" s="10" t="str">
        <f t="shared" si="35"/>
        <v>1.A.2.2.3</v>
      </c>
      <c r="L313" s="10" t="str">
        <f t="shared" si="31"/>
        <v>1.A.2.2.3</v>
      </c>
      <c r="M313" s="12" t="s">
        <v>1845</v>
      </c>
      <c r="N313" t="s">
        <v>1578</v>
      </c>
      <c r="O313" t="str">
        <f t="shared" si="34"/>
        <v>1.A</v>
      </c>
    </row>
    <row r="314" spans="3:15" x14ac:dyDescent="0.25">
      <c r="C314" s="9">
        <v>365</v>
      </c>
      <c r="D314" s="16">
        <v>4700</v>
      </c>
      <c r="E314" s="10" t="str">
        <f t="shared" si="32"/>
        <v>4700</v>
      </c>
      <c r="F314" s="10" t="str">
        <f t="shared" si="33"/>
        <v>470</v>
      </c>
      <c r="G314" s="10">
        <f t="shared" ref="G314:G377" si="36">IF(IFERROR(VLOOKUP(E314,F:F,1,FALSE),0)&lt;&gt;0,1,0)</f>
        <v>0</v>
      </c>
      <c r="H314" s="10" t="b">
        <f>IF(ISERROR(VLOOKUP(E314,cuentas_pyme!C:C,1,FALSE)),FALSE,TRUE)</f>
        <v>1</v>
      </c>
      <c r="I314" s="10" t="s">
        <v>2830</v>
      </c>
      <c r="J314" s="11" t="s">
        <v>2831</v>
      </c>
      <c r="K314" s="10" t="str">
        <f t="shared" si="35"/>
        <v>1.A.2.2.3.470</v>
      </c>
      <c r="L314" s="10" t="str">
        <f t="shared" si="31"/>
        <v>1.A.2.2.3.470</v>
      </c>
      <c r="M314" s="12" t="s">
        <v>1846</v>
      </c>
      <c r="N314" t="s">
        <v>1578</v>
      </c>
      <c r="O314" t="str">
        <f t="shared" si="34"/>
        <v>1.A</v>
      </c>
    </row>
    <row r="315" spans="3:15" x14ac:dyDescent="0.25">
      <c r="C315" s="9">
        <v>366</v>
      </c>
      <c r="D315" s="16">
        <v>4708</v>
      </c>
      <c r="E315" s="10" t="str">
        <f t="shared" si="32"/>
        <v>4708</v>
      </c>
      <c r="F315" s="10" t="str">
        <f t="shared" si="33"/>
        <v>470</v>
      </c>
      <c r="G315" s="10">
        <f t="shared" si="36"/>
        <v>0</v>
      </c>
      <c r="H315" s="10" t="b">
        <f>IF(ISERROR(VLOOKUP(E315,cuentas_pyme!C:C,1,FALSE)),FALSE,TRUE)</f>
        <v>1</v>
      </c>
      <c r="I315" s="10" t="s">
        <v>2830</v>
      </c>
      <c r="J315" s="11" t="s">
        <v>2832</v>
      </c>
      <c r="K315" s="10" t="str">
        <f t="shared" si="35"/>
        <v>1.A.2.2.3.470</v>
      </c>
      <c r="L315" s="10" t="str">
        <f t="shared" si="31"/>
        <v>1.A.2.2.3.470</v>
      </c>
      <c r="M315" s="12" t="s">
        <v>1847</v>
      </c>
      <c r="N315" t="s">
        <v>1578</v>
      </c>
      <c r="O315" t="str">
        <f t="shared" si="34"/>
        <v>1.A</v>
      </c>
    </row>
    <row r="316" spans="3:15" x14ac:dyDescent="0.25">
      <c r="C316" s="9">
        <v>367</v>
      </c>
      <c r="D316" s="16">
        <v>4709</v>
      </c>
      <c r="E316" s="10" t="str">
        <f t="shared" si="32"/>
        <v>4709</v>
      </c>
      <c r="F316" s="10" t="str">
        <f t="shared" si="33"/>
        <v>470</v>
      </c>
      <c r="G316" s="10">
        <f t="shared" si="36"/>
        <v>0</v>
      </c>
      <c r="H316" s="10" t="b">
        <f>IF(ISERROR(VLOOKUP(E316,cuentas_pyme!C:C,1,FALSE)),FALSE,TRUE)</f>
        <v>1</v>
      </c>
      <c r="I316" s="10" t="s">
        <v>2830</v>
      </c>
      <c r="J316" s="11" t="s">
        <v>2833</v>
      </c>
      <c r="K316" s="10" t="str">
        <f t="shared" si="35"/>
        <v>1.A.2.2.3.470</v>
      </c>
      <c r="L316" s="10" t="str">
        <f t="shared" si="31"/>
        <v>1.A.2.2.3.470</v>
      </c>
      <c r="M316" s="12" t="s">
        <v>1848</v>
      </c>
      <c r="N316" t="s">
        <v>1578</v>
      </c>
      <c r="O316" t="str">
        <f t="shared" si="34"/>
        <v>1.A</v>
      </c>
    </row>
    <row r="317" spans="3:15" x14ac:dyDescent="0.25">
      <c r="C317" s="9">
        <v>368</v>
      </c>
      <c r="D317" s="16">
        <v>471</v>
      </c>
      <c r="E317" s="10" t="str">
        <f t="shared" si="32"/>
        <v>471</v>
      </c>
      <c r="F317" s="10" t="str">
        <f t="shared" si="33"/>
        <v>47</v>
      </c>
      <c r="G317" s="10">
        <f t="shared" si="36"/>
        <v>0</v>
      </c>
      <c r="H317" s="10" t="b">
        <f>IF(ISERROR(VLOOKUP(E317,cuentas_pyme!C:C,1,FALSE)),FALSE,TRUE)</f>
        <v>1</v>
      </c>
      <c r="I317" s="10" t="str">
        <f>VLOOKUP(D317,cuentas_balance!C:I,7,FALSE)</f>
        <v>1.A.2.2.3</v>
      </c>
      <c r="J317" s="11" t="str">
        <f t="shared" ref="J317:J362" si="37">I317&amp;"."&amp;E317</f>
        <v>1.A.2.2.3.471</v>
      </c>
      <c r="K317" s="10" t="str">
        <f t="shared" si="35"/>
        <v>1.A.2.2.3</v>
      </c>
      <c r="L317" s="10" t="str">
        <f t="shared" si="31"/>
        <v>1.A.2.2.3</v>
      </c>
      <c r="M317" s="12" t="s">
        <v>1849</v>
      </c>
      <c r="N317" t="s">
        <v>1578</v>
      </c>
      <c r="O317" t="str">
        <f t="shared" si="34"/>
        <v>1.A</v>
      </c>
    </row>
    <row r="318" spans="3:15" x14ac:dyDescent="0.25">
      <c r="C318" s="9">
        <v>369</v>
      </c>
      <c r="D318" s="16">
        <v>472</v>
      </c>
      <c r="E318" s="10" t="str">
        <f t="shared" si="32"/>
        <v>472</v>
      </c>
      <c r="F318" s="10" t="str">
        <f t="shared" si="33"/>
        <v>47</v>
      </c>
      <c r="G318" s="10">
        <f t="shared" si="36"/>
        <v>0</v>
      </c>
      <c r="H318" s="10" t="b">
        <f>IF(ISERROR(VLOOKUP(E318,cuentas_pyme!C:C,1,FALSE)),FALSE,TRUE)</f>
        <v>1</v>
      </c>
      <c r="I318" s="10" t="str">
        <f>VLOOKUP(D318,cuentas_balance!C:I,7,FALSE)</f>
        <v>1.A.2.2.3</v>
      </c>
      <c r="J318" s="11" t="str">
        <f t="shared" si="37"/>
        <v>1.A.2.2.3.472</v>
      </c>
      <c r="K318" s="10" t="str">
        <f t="shared" si="35"/>
        <v>1.A.2.2.3</v>
      </c>
      <c r="L318" s="10" t="str">
        <f t="shared" si="31"/>
        <v>1.A.2.2.3</v>
      </c>
      <c r="M318" s="12" t="s">
        <v>1850</v>
      </c>
      <c r="N318" t="s">
        <v>1578</v>
      </c>
      <c r="O318" t="str">
        <f t="shared" si="34"/>
        <v>1.A</v>
      </c>
    </row>
    <row r="319" spans="3:15" x14ac:dyDescent="0.25">
      <c r="C319" s="9">
        <v>371</v>
      </c>
      <c r="D319" s="16">
        <v>474</v>
      </c>
      <c r="E319" s="10" t="str">
        <f t="shared" si="32"/>
        <v>474</v>
      </c>
      <c r="F319" s="10" t="str">
        <f t="shared" si="33"/>
        <v>47</v>
      </c>
      <c r="G319" s="10">
        <f t="shared" si="36"/>
        <v>1</v>
      </c>
      <c r="H319" s="10" t="b">
        <f>IF(ISERROR(VLOOKUP(E319,cuentas_pyme!C:C,1,FALSE)),FALSE,TRUE)</f>
        <v>1</v>
      </c>
      <c r="I319" s="10" t="str">
        <f>VLOOKUP(D319,cuentas_balance!C:I,7,FALSE)</f>
        <v>1.A.1.6</v>
      </c>
      <c r="J319" s="11" t="str">
        <f t="shared" si="37"/>
        <v>1.A.1.6.474</v>
      </c>
      <c r="K319" s="10" t="str">
        <f t="shared" si="35"/>
        <v>1.A.1.6</v>
      </c>
      <c r="L319" s="10" t="str">
        <f t="shared" si="31"/>
        <v>1.A.1.6</v>
      </c>
      <c r="M319" s="12" t="s">
        <v>1851</v>
      </c>
      <c r="N319" t="s">
        <v>1578</v>
      </c>
      <c r="O319" t="str">
        <f t="shared" si="34"/>
        <v>1.A</v>
      </c>
    </row>
    <row r="320" spans="3:15" x14ac:dyDescent="0.25">
      <c r="C320" s="9">
        <v>372</v>
      </c>
      <c r="D320" s="16">
        <v>4740</v>
      </c>
      <c r="E320" s="10" t="str">
        <f t="shared" si="32"/>
        <v>4740</v>
      </c>
      <c r="F320" s="10" t="str">
        <f t="shared" si="33"/>
        <v>474</v>
      </c>
      <c r="G320" s="10">
        <f t="shared" si="36"/>
        <v>0</v>
      </c>
      <c r="H320" s="10" t="b">
        <f>IF(ISERROR(VLOOKUP(E320,cuentas_pyme!C:C,1,FALSE)),FALSE,TRUE)</f>
        <v>1</v>
      </c>
      <c r="I320" s="10" t="s">
        <v>2834</v>
      </c>
      <c r="J320" s="11" t="s">
        <v>2835</v>
      </c>
      <c r="K320" s="10" t="str">
        <f t="shared" si="35"/>
        <v>1.A.1.6.474</v>
      </c>
      <c r="L320" s="10" t="str">
        <f t="shared" si="31"/>
        <v>1.A.1.6.474</v>
      </c>
      <c r="M320" s="12" t="s">
        <v>1852</v>
      </c>
      <c r="N320" t="s">
        <v>1578</v>
      </c>
      <c r="O320" t="str">
        <f t="shared" si="34"/>
        <v>1.A</v>
      </c>
    </row>
    <row r="321" spans="3:15" x14ac:dyDescent="0.25">
      <c r="C321" s="9">
        <v>373</v>
      </c>
      <c r="D321" s="16">
        <v>4742</v>
      </c>
      <c r="E321" s="10" t="str">
        <f t="shared" si="32"/>
        <v>4742</v>
      </c>
      <c r="F321" s="10" t="str">
        <f t="shared" si="33"/>
        <v>474</v>
      </c>
      <c r="G321" s="10">
        <f t="shared" si="36"/>
        <v>0</v>
      </c>
      <c r="H321" s="10" t="b">
        <f>IF(ISERROR(VLOOKUP(E321,cuentas_pyme!C:C,1,FALSE)),FALSE,TRUE)</f>
        <v>1</v>
      </c>
      <c r="I321" s="10" t="s">
        <v>2834</v>
      </c>
      <c r="J321" s="11" t="s">
        <v>2836</v>
      </c>
      <c r="K321" s="10" t="str">
        <f t="shared" si="35"/>
        <v>1.A.1.6.474</v>
      </c>
      <c r="L321" s="10" t="str">
        <f t="shared" si="31"/>
        <v>1.A.1.6.474</v>
      </c>
      <c r="M321" s="12" t="s">
        <v>1853</v>
      </c>
      <c r="N321" t="s">
        <v>1578</v>
      </c>
      <c r="O321" t="str">
        <f t="shared" si="34"/>
        <v>1.A</v>
      </c>
    </row>
    <row r="322" spans="3:15" x14ac:dyDescent="0.25">
      <c r="C322" s="9">
        <v>374</v>
      </c>
      <c r="D322" s="16">
        <v>4745</v>
      </c>
      <c r="E322" s="10" t="str">
        <f t="shared" si="32"/>
        <v>4745</v>
      </c>
      <c r="F322" s="10" t="str">
        <f t="shared" si="33"/>
        <v>474</v>
      </c>
      <c r="G322" s="10">
        <f t="shared" si="36"/>
        <v>0</v>
      </c>
      <c r="H322" s="10" t="b">
        <f>IF(ISERROR(VLOOKUP(E322,cuentas_pyme!C:C,1,FALSE)),FALSE,TRUE)</f>
        <v>1</v>
      </c>
      <c r="I322" s="10" t="s">
        <v>2834</v>
      </c>
      <c r="J322" s="11" t="s">
        <v>2837</v>
      </c>
      <c r="K322" s="10" t="str">
        <f t="shared" si="35"/>
        <v>1.A.1.6.474</v>
      </c>
      <c r="L322" s="10" t="str">
        <f t="shared" si="31"/>
        <v>1.A.1.6.474</v>
      </c>
      <c r="M322" s="12" t="s">
        <v>1854</v>
      </c>
      <c r="N322" t="s">
        <v>1578</v>
      </c>
      <c r="O322" t="str">
        <f t="shared" si="34"/>
        <v>1.A</v>
      </c>
    </row>
    <row r="323" spans="3:15" x14ac:dyDescent="0.25">
      <c r="C323" s="9">
        <v>375</v>
      </c>
      <c r="D323" s="16">
        <v>475</v>
      </c>
      <c r="E323" s="10" t="str">
        <f t="shared" si="32"/>
        <v>475</v>
      </c>
      <c r="F323" s="10" t="str">
        <f t="shared" si="33"/>
        <v>47</v>
      </c>
      <c r="G323" s="10">
        <f t="shared" si="36"/>
        <v>1</v>
      </c>
      <c r="H323" s="10" t="b">
        <f>IF(ISERROR(VLOOKUP(E323,cuentas_pyme!C:C,1,FALSE)),FALSE,TRUE)</f>
        <v>1</v>
      </c>
      <c r="I323" s="10" t="str">
        <f>VLOOKUP(D323,cuentas_balance!C:I,7,FALSE)</f>
        <v>2.P.2.4.2</v>
      </c>
      <c r="J323" s="11" t="str">
        <f t="shared" si="37"/>
        <v>2.P.2.4.2.475</v>
      </c>
      <c r="K323" s="10" t="str">
        <f t="shared" si="35"/>
        <v>2.P.2.4.2</v>
      </c>
      <c r="L323" s="10" t="str">
        <f t="shared" si="31"/>
        <v>2.P.2.4.2</v>
      </c>
      <c r="M323" s="12" t="s">
        <v>1855</v>
      </c>
      <c r="N323" t="s">
        <v>1581</v>
      </c>
      <c r="O323" t="str">
        <f t="shared" si="34"/>
        <v>2.P</v>
      </c>
    </row>
    <row r="324" spans="3:15" x14ac:dyDescent="0.25">
      <c r="C324" s="9">
        <v>376</v>
      </c>
      <c r="D324" s="16">
        <v>4750</v>
      </c>
      <c r="E324" s="10" t="str">
        <f t="shared" si="32"/>
        <v>4750</v>
      </c>
      <c r="F324" s="10" t="str">
        <f t="shared" si="33"/>
        <v>475</v>
      </c>
      <c r="G324" s="10">
        <f t="shared" si="36"/>
        <v>0</v>
      </c>
      <c r="H324" s="10" t="b">
        <f>IF(ISERROR(VLOOKUP(E324,cuentas_pyme!C:C,1,FALSE)),FALSE,TRUE)</f>
        <v>1</v>
      </c>
      <c r="I324" s="10" t="s">
        <v>2838</v>
      </c>
      <c r="J324" s="11" t="s">
        <v>2839</v>
      </c>
      <c r="K324" s="10" t="str">
        <f t="shared" si="35"/>
        <v>2.P.2.4.2.475</v>
      </c>
      <c r="L324" s="10" t="str">
        <f t="shared" si="31"/>
        <v>2.P.2.4.2.475</v>
      </c>
      <c r="M324" s="12" t="s">
        <v>1856</v>
      </c>
      <c r="N324" t="s">
        <v>1581</v>
      </c>
      <c r="O324" t="str">
        <f t="shared" si="34"/>
        <v>2.P</v>
      </c>
    </row>
    <row r="325" spans="3:15" x14ac:dyDescent="0.25">
      <c r="C325" s="9">
        <v>377</v>
      </c>
      <c r="D325" s="16">
        <v>4751</v>
      </c>
      <c r="E325" s="10" t="str">
        <f t="shared" si="32"/>
        <v>4751</v>
      </c>
      <c r="F325" s="10" t="str">
        <f t="shared" si="33"/>
        <v>475</v>
      </c>
      <c r="G325" s="10">
        <f t="shared" si="36"/>
        <v>0</v>
      </c>
      <c r="H325" s="10" t="b">
        <f>IF(ISERROR(VLOOKUP(E325,cuentas_pyme!C:C,1,FALSE)),FALSE,TRUE)</f>
        <v>1</v>
      </c>
      <c r="I325" s="10" t="s">
        <v>2838</v>
      </c>
      <c r="J325" s="11" t="s">
        <v>2840</v>
      </c>
      <c r="K325" s="10" t="str">
        <f t="shared" si="35"/>
        <v>2.P.2.4.2.475</v>
      </c>
      <c r="L325" s="10" t="str">
        <f t="shared" si="31"/>
        <v>2.P.2.4.2.475</v>
      </c>
      <c r="M325" s="12" t="s">
        <v>1857</v>
      </c>
      <c r="N325" t="s">
        <v>1581</v>
      </c>
      <c r="O325" t="str">
        <f t="shared" si="34"/>
        <v>2.P</v>
      </c>
    </row>
    <row r="326" spans="3:15" x14ac:dyDescent="0.25">
      <c r="C326" s="9">
        <v>378</v>
      </c>
      <c r="D326" s="16">
        <v>4752</v>
      </c>
      <c r="E326" s="10" t="str">
        <f t="shared" ref="E326:E376" si="38">TEXT(D326,0)</f>
        <v>4752</v>
      </c>
      <c r="F326" s="10" t="str">
        <f t="shared" ref="F326:F376" si="39">LEFT(D326,LEN(D326)-1)</f>
        <v>475</v>
      </c>
      <c r="G326" s="10">
        <f t="shared" si="36"/>
        <v>0</v>
      </c>
      <c r="H326" s="10" t="b">
        <f>IF(ISERROR(VLOOKUP(E326,cuentas_pyme!C:C,1,FALSE)),FALSE,TRUE)</f>
        <v>1</v>
      </c>
      <c r="I326" s="10" t="s">
        <v>2838</v>
      </c>
      <c r="J326" s="11" t="s">
        <v>2841</v>
      </c>
      <c r="K326" s="10" t="str">
        <f t="shared" si="35"/>
        <v>2.P.2.4.2.475</v>
      </c>
      <c r="L326" s="10" t="str">
        <f t="shared" si="31"/>
        <v>2.P.2.4.2.475</v>
      </c>
      <c r="M326" s="12" t="s">
        <v>1858</v>
      </c>
      <c r="N326" t="s">
        <v>1581</v>
      </c>
      <c r="O326" t="str">
        <f t="shared" si="34"/>
        <v>2.P</v>
      </c>
    </row>
    <row r="327" spans="3:15" x14ac:dyDescent="0.25">
      <c r="C327" s="9">
        <v>379</v>
      </c>
      <c r="D327" s="16">
        <v>4758</v>
      </c>
      <c r="E327" s="10" t="str">
        <f t="shared" si="38"/>
        <v>4758</v>
      </c>
      <c r="F327" s="10" t="str">
        <f t="shared" si="39"/>
        <v>475</v>
      </c>
      <c r="G327" s="10">
        <f t="shared" si="36"/>
        <v>0</v>
      </c>
      <c r="H327" s="10" t="b">
        <f>IF(ISERROR(VLOOKUP(E327,cuentas_pyme!C:C,1,FALSE)),FALSE,TRUE)</f>
        <v>1</v>
      </c>
      <c r="I327" s="10" t="s">
        <v>2838</v>
      </c>
      <c r="J327" s="11" t="s">
        <v>2842</v>
      </c>
      <c r="K327" s="10" t="str">
        <f t="shared" si="35"/>
        <v>2.P.2.4.2.475</v>
      </c>
      <c r="L327" s="10" t="str">
        <f t="shared" si="31"/>
        <v>2.P.2.4.2.475</v>
      </c>
      <c r="M327" s="12" t="s">
        <v>1859</v>
      </c>
      <c r="N327" t="s">
        <v>1581</v>
      </c>
      <c r="O327" t="str">
        <f t="shared" ref="O327:O358" si="40">IFERROR(VLOOKUP(N327,$Q$4:$R$9,2,FALSE),"")</f>
        <v>2.P</v>
      </c>
    </row>
    <row r="328" spans="3:15" x14ac:dyDescent="0.25">
      <c r="C328" s="9">
        <v>380</v>
      </c>
      <c r="D328" s="16">
        <v>476</v>
      </c>
      <c r="E328" s="10" t="str">
        <f t="shared" si="38"/>
        <v>476</v>
      </c>
      <c r="F328" s="10" t="str">
        <f t="shared" si="39"/>
        <v>47</v>
      </c>
      <c r="G328" s="10">
        <f t="shared" si="36"/>
        <v>0</v>
      </c>
      <c r="H328" s="10" t="b">
        <f>IF(ISERROR(VLOOKUP(E328,cuentas_pyme!C:C,1,FALSE)),FALSE,TRUE)</f>
        <v>1</v>
      </c>
      <c r="I328" s="10" t="str">
        <f>VLOOKUP(D328,cuentas_balance!C:I,7,FALSE)</f>
        <v>2.P.2.4.2</v>
      </c>
      <c r="J328" s="11" t="str">
        <f t="shared" si="37"/>
        <v>2.P.2.4.2.476</v>
      </c>
      <c r="K328" s="10" t="str">
        <f t="shared" si="35"/>
        <v>2.P.2.4.2</v>
      </c>
      <c r="L328" s="10" t="str">
        <f t="shared" si="31"/>
        <v>2.P.2.4.2</v>
      </c>
      <c r="M328" s="12" t="s">
        <v>1860</v>
      </c>
      <c r="N328" t="s">
        <v>1581</v>
      </c>
      <c r="O328" t="str">
        <f t="shared" si="40"/>
        <v>2.P</v>
      </c>
    </row>
    <row r="329" spans="3:15" x14ac:dyDescent="0.25">
      <c r="C329" s="9">
        <v>381</v>
      </c>
      <c r="D329" s="16">
        <v>477</v>
      </c>
      <c r="E329" s="10" t="str">
        <f t="shared" si="38"/>
        <v>477</v>
      </c>
      <c r="F329" s="10" t="str">
        <f t="shared" si="39"/>
        <v>47</v>
      </c>
      <c r="G329" s="10">
        <f t="shared" si="36"/>
        <v>0</v>
      </c>
      <c r="H329" s="10" t="b">
        <f>IF(ISERROR(VLOOKUP(E329,cuentas_pyme!C:C,1,FALSE)),FALSE,TRUE)</f>
        <v>1</v>
      </c>
      <c r="I329" s="10" t="str">
        <f>VLOOKUP(D329,cuentas_balance!C:I,7,FALSE)</f>
        <v>2.P.2.4.2</v>
      </c>
      <c r="J329" s="11" t="str">
        <f t="shared" si="37"/>
        <v>2.P.2.4.2.477</v>
      </c>
      <c r="K329" s="10" t="str">
        <f t="shared" si="35"/>
        <v>2.P.2.4.2</v>
      </c>
      <c r="L329" s="10" t="str">
        <f t="shared" ref="L329:L392" si="41">VLOOKUP(K329,J:J,1,FALSE)</f>
        <v>2.P.2.4.2</v>
      </c>
      <c r="M329" s="12" t="s">
        <v>1861</v>
      </c>
      <c r="N329" t="s">
        <v>1581</v>
      </c>
      <c r="O329" t="str">
        <f t="shared" si="40"/>
        <v>2.P</v>
      </c>
    </row>
    <row r="330" spans="3:15" x14ac:dyDescent="0.25">
      <c r="C330" s="9">
        <v>382</v>
      </c>
      <c r="D330" s="16">
        <v>479</v>
      </c>
      <c r="E330" s="10" t="str">
        <f t="shared" si="38"/>
        <v>479</v>
      </c>
      <c r="F330" s="10" t="str">
        <f t="shared" si="39"/>
        <v>47</v>
      </c>
      <c r="G330" s="10">
        <f t="shared" si="36"/>
        <v>0</v>
      </c>
      <c r="H330" s="10" t="b">
        <f>IF(ISERROR(VLOOKUP(E330,cuentas_pyme!C:C,1,FALSE)),FALSE,TRUE)</f>
        <v>1</v>
      </c>
      <c r="I330" s="10" t="str">
        <f>VLOOKUP(D330,cuentas_balance!C:I,7,FALSE)</f>
        <v>2.P.1.4</v>
      </c>
      <c r="J330" s="11" t="str">
        <f t="shared" si="37"/>
        <v>2.P.1.4.479</v>
      </c>
      <c r="K330" s="10" t="str">
        <f t="shared" si="35"/>
        <v>2.P.1.4</v>
      </c>
      <c r="L330" s="10" t="str">
        <f t="shared" si="41"/>
        <v>2.P.1.4</v>
      </c>
      <c r="M330" s="12" t="s">
        <v>1862</v>
      </c>
      <c r="N330" t="s">
        <v>1581</v>
      </c>
      <c r="O330" t="str">
        <f t="shared" si="40"/>
        <v>2.P</v>
      </c>
    </row>
    <row r="331" spans="3:15" x14ac:dyDescent="0.25">
      <c r="C331" s="9">
        <v>384</v>
      </c>
      <c r="D331" s="16">
        <v>480</v>
      </c>
      <c r="E331" s="10" t="str">
        <f t="shared" si="38"/>
        <v>480</v>
      </c>
      <c r="F331" s="10" t="str">
        <f t="shared" si="39"/>
        <v>48</v>
      </c>
      <c r="G331" s="10">
        <f t="shared" si="36"/>
        <v>0</v>
      </c>
      <c r="H331" s="10" t="b">
        <f>IF(ISERROR(VLOOKUP(E331,cuentas_pyme!C:C,1,FALSE)),FALSE,TRUE)</f>
        <v>1</v>
      </c>
      <c r="I331" s="10" t="str">
        <f>VLOOKUP(D331,cuentas_balance!C:I,7,FALSE)</f>
        <v>1.A.2.5</v>
      </c>
      <c r="J331" s="11" t="str">
        <f t="shared" si="37"/>
        <v>1.A.2.5.480</v>
      </c>
      <c r="K331" s="10" t="str">
        <f t="shared" ref="K331:K379" si="42">I331</f>
        <v>1.A.2.5</v>
      </c>
      <c r="L331" s="10" t="str">
        <f t="shared" si="41"/>
        <v>1.A.2.5</v>
      </c>
      <c r="M331" s="12" t="s">
        <v>1863</v>
      </c>
      <c r="N331" t="s">
        <v>1578</v>
      </c>
      <c r="O331" t="str">
        <f t="shared" si="40"/>
        <v>1.A</v>
      </c>
    </row>
    <row r="332" spans="3:15" x14ac:dyDescent="0.25">
      <c r="C332" s="9">
        <v>385</v>
      </c>
      <c r="D332" s="16">
        <v>485</v>
      </c>
      <c r="E332" s="10" t="str">
        <f t="shared" si="38"/>
        <v>485</v>
      </c>
      <c r="F332" s="10" t="str">
        <f t="shared" si="39"/>
        <v>48</v>
      </c>
      <c r="G332" s="10">
        <f t="shared" si="36"/>
        <v>0</v>
      </c>
      <c r="H332" s="10" t="b">
        <f>IF(ISERROR(VLOOKUP(E332,cuentas_pyme!C:C,1,FALSE)),FALSE,TRUE)</f>
        <v>1</v>
      </c>
      <c r="I332" s="10" t="str">
        <f>VLOOKUP(D332,cuentas_balance!C:I,7,FALSE)</f>
        <v>2.P.2.5</v>
      </c>
      <c r="J332" s="11" t="str">
        <f t="shared" si="37"/>
        <v>2.P.2.5.485</v>
      </c>
      <c r="K332" s="10" t="str">
        <f t="shared" si="42"/>
        <v>2.P.2.5</v>
      </c>
      <c r="L332" s="10" t="str">
        <f t="shared" si="41"/>
        <v>2.P.2.5</v>
      </c>
      <c r="M332" s="12" t="s">
        <v>1864</v>
      </c>
      <c r="N332" t="s">
        <v>1581</v>
      </c>
      <c r="O332" t="str">
        <f t="shared" si="40"/>
        <v>2.P</v>
      </c>
    </row>
    <row r="333" spans="3:15" x14ac:dyDescent="0.25">
      <c r="C333" s="9">
        <v>387</v>
      </c>
      <c r="D333" s="16">
        <v>490</v>
      </c>
      <c r="E333" s="10" t="str">
        <f t="shared" si="38"/>
        <v>490</v>
      </c>
      <c r="F333" s="10" t="str">
        <f t="shared" si="39"/>
        <v>49</v>
      </c>
      <c r="G333" s="10">
        <f t="shared" si="36"/>
        <v>0</v>
      </c>
      <c r="H333" s="10" t="b">
        <f>IF(ISERROR(VLOOKUP(E333,cuentas_pyme!C:C,1,FALSE)),FALSE,TRUE)</f>
        <v>1</v>
      </c>
      <c r="I333" s="10" t="str">
        <f>VLOOKUP(D333,cuentas_balance!C:I,7,FALSE)</f>
        <v>1.A.2.2.1</v>
      </c>
      <c r="J333" s="11" t="str">
        <f t="shared" si="37"/>
        <v>1.A.2.2.1.490</v>
      </c>
      <c r="K333" s="10" t="str">
        <f t="shared" si="42"/>
        <v>1.A.2.2.1</v>
      </c>
      <c r="L333" s="10" t="str">
        <f t="shared" si="41"/>
        <v>1.A.2.2.1</v>
      </c>
      <c r="M333" s="12" t="s">
        <v>1865</v>
      </c>
      <c r="N333" t="s">
        <v>1578</v>
      </c>
      <c r="O333" t="str">
        <f t="shared" si="40"/>
        <v>1.A</v>
      </c>
    </row>
    <row r="334" spans="3:15" x14ac:dyDescent="0.25">
      <c r="C334" s="9">
        <v>388</v>
      </c>
      <c r="D334" s="16">
        <v>493</v>
      </c>
      <c r="E334" s="10" t="str">
        <f t="shared" si="38"/>
        <v>493</v>
      </c>
      <c r="F334" s="10" t="str">
        <f t="shared" si="39"/>
        <v>49</v>
      </c>
      <c r="G334" s="10">
        <f t="shared" si="36"/>
        <v>1</v>
      </c>
      <c r="H334" s="10" t="b">
        <f>IF(ISERROR(VLOOKUP(E334,cuentas_pyme!C:C,1,FALSE)),FALSE,TRUE)</f>
        <v>1</v>
      </c>
      <c r="I334" s="10" t="str">
        <f>VLOOKUP(D334,cuentas_balance!C:I,7,FALSE)</f>
        <v>1.A.2.2.1</v>
      </c>
      <c r="J334" s="11" t="str">
        <f t="shared" si="37"/>
        <v>1.A.2.2.1.493</v>
      </c>
      <c r="K334" s="10" t="str">
        <f t="shared" si="42"/>
        <v>1.A.2.2.1</v>
      </c>
      <c r="L334" s="10" t="str">
        <f t="shared" si="41"/>
        <v>1.A.2.2.1</v>
      </c>
      <c r="M334" s="12" t="s">
        <v>1866</v>
      </c>
      <c r="N334" t="s">
        <v>1578</v>
      </c>
      <c r="O334" t="str">
        <f t="shared" si="40"/>
        <v>1.A</v>
      </c>
    </row>
    <row r="335" spans="3:15" x14ac:dyDescent="0.25">
      <c r="C335" s="9">
        <v>389</v>
      </c>
      <c r="D335" s="16">
        <v>4933</v>
      </c>
      <c r="E335" s="10" t="str">
        <f t="shared" si="38"/>
        <v>4933</v>
      </c>
      <c r="F335" s="10" t="str">
        <f t="shared" si="39"/>
        <v>493</v>
      </c>
      <c r="G335" s="10">
        <f t="shared" si="36"/>
        <v>0</v>
      </c>
      <c r="H335" s="10" t="b">
        <f>IF(ISERROR(VLOOKUP(E335,cuentas_pyme!C:C,1,FALSE)),FALSE,TRUE)</f>
        <v>1</v>
      </c>
      <c r="I335" s="10" t="s">
        <v>2843</v>
      </c>
      <c r="J335" s="11" t="s">
        <v>2844</v>
      </c>
      <c r="K335" s="10" t="str">
        <f t="shared" si="42"/>
        <v>1.A.2.2.1.493</v>
      </c>
      <c r="L335" s="10" t="str">
        <f t="shared" si="41"/>
        <v>1.A.2.2.1.493</v>
      </c>
      <c r="M335" s="12" t="s">
        <v>1867</v>
      </c>
      <c r="N335" t="s">
        <v>1578</v>
      </c>
      <c r="O335" t="str">
        <f t="shared" si="40"/>
        <v>1.A</v>
      </c>
    </row>
    <row r="336" spans="3:15" x14ac:dyDescent="0.25">
      <c r="C336" s="9">
        <v>390</v>
      </c>
      <c r="D336" s="16">
        <v>4934</v>
      </c>
      <c r="E336" s="10" t="str">
        <f t="shared" si="38"/>
        <v>4934</v>
      </c>
      <c r="F336" s="10" t="str">
        <f t="shared" si="39"/>
        <v>493</v>
      </c>
      <c r="G336" s="10">
        <f t="shared" si="36"/>
        <v>0</v>
      </c>
      <c r="H336" s="10" t="b">
        <f>IF(ISERROR(VLOOKUP(E336,cuentas_pyme!C:C,1,FALSE)),FALSE,TRUE)</f>
        <v>1</v>
      </c>
      <c r="I336" s="10" t="s">
        <v>2843</v>
      </c>
      <c r="J336" s="11" t="s">
        <v>2845</v>
      </c>
      <c r="K336" s="10" t="str">
        <f t="shared" si="42"/>
        <v>1.A.2.2.1.493</v>
      </c>
      <c r="L336" s="10" t="str">
        <f t="shared" si="41"/>
        <v>1.A.2.2.1.493</v>
      </c>
      <c r="M336" s="12" t="s">
        <v>1868</v>
      </c>
      <c r="N336" t="s">
        <v>1578</v>
      </c>
      <c r="O336" t="str">
        <f t="shared" si="40"/>
        <v>1.A</v>
      </c>
    </row>
    <row r="337" spans="3:15" x14ac:dyDescent="0.25">
      <c r="C337" s="9">
        <v>391</v>
      </c>
      <c r="D337" s="16">
        <v>4935</v>
      </c>
      <c r="E337" s="10" t="str">
        <f t="shared" si="38"/>
        <v>4935</v>
      </c>
      <c r="F337" s="10" t="str">
        <f t="shared" si="39"/>
        <v>493</v>
      </c>
      <c r="G337" s="10">
        <f t="shared" si="36"/>
        <v>0</v>
      </c>
      <c r="H337" s="10" t="b">
        <f>IF(ISERROR(VLOOKUP(E337,cuentas_pyme!C:C,1,FALSE)),FALSE,TRUE)</f>
        <v>1</v>
      </c>
      <c r="I337" s="10" t="s">
        <v>2843</v>
      </c>
      <c r="J337" s="11" t="s">
        <v>2846</v>
      </c>
      <c r="K337" s="10" t="str">
        <f t="shared" si="42"/>
        <v>1.A.2.2.1.493</v>
      </c>
      <c r="L337" s="10" t="str">
        <f t="shared" si="41"/>
        <v>1.A.2.2.1.493</v>
      </c>
      <c r="M337" s="12" t="s">
        <v>1869</v>
      </c>
      <c r="N337" t="s">
        <v>1578</v>
      </c>
      <c r="O337" t="str">
        <f t="shared" si="40"/>
        <v>1.A</v>
      </c>
    </row>
    <row r="338" spans="3:15" x14ac:dyDescent="0.25">
      <c r="C338" s="9">
        <v>392</v>
      </c>
      <c r="D338" s="16">
        <v>499</v>
      </c>
      <c r="E338" s="10" t="str">
        <f t="shared" si="38"/>
        <v>499</v>
      </c>
      <c r="F338" s="10" t="str">
        <f t="shared" si="39"/>
        <v>49</v>
      </c>
      <c r="G338" s="10">
        <f t="shared" si="36"/>
        <v>1</v>
      </c>
      <c r="H338" s="10" t="b">
        <f>IF(ISERROR(VLOOKUP(E338,cuentas_pyme!C:C,1,FALSE)),FALSE,TRUE)</f>
        <v>1</v>
      </c>
      <c r="I338" s="10" t="str">
        <f>VLOOKUP(D338,cuentas_balance!C:I,7,FALSE)</f>
        <v>2.P.2.1</v>
      </c>
      <c r="J338" s="11" t="str">
        <f t="shared" si="37"/>
        <v>2.P.2.1.499</v>
      </c>
      <c r="K338" s="10" t="str">
        <f t="shared" si="42"/>
        <v>2.P.2.1</v>
      </c>
      <c r="L338" s="10" t="str">
        <f t="shared" si="41"/>
        <v>2.P.2.1</v>
      </c>
      <c r="M338" s="12" t="s">
        <v>1870</v>
      </c>
      <c r="N338" t="s">
        <v>1581</v>
      </c>
      <c r="O338" t="str">
        <f t="shared" si="40"/>
        <v>2.P</v>
      </c>
    </row>
    <row r="339" spans="3:15" x14ac:dyDescent="0.25">
      <c r="C339" s="9">
        <v>393</v>
      </c>
      <c r="D339" s="16">
        <v>4994</v>
      </c>
      <c r="E339" s="10" t="str">
        <f t="shared" si="38"/>
        <v>4994</v>
      </c>
      <c r="F339" s="10" t="str">
        <f t="shared" si="39"/>
        <v>499</v>
      </c>
      <c r="G339" s="10">
        <f t="shared" si="36"/>
        <v>0</v>
      </c>
      <c r="H339" s="10" t="b">
        <f>IF(ISERROR(VLOOKUP(E339,cuentas_pyme!C:C,1,FALSE)),FALSE,TRUE)</f>
        <v>1</v>
      </c>
      <c r="I339" s="10" t="s">
        <v>2847</v>
      </c>
      <c r="J339" s="11" t="s">
        <v>2848</v>
      </c>
      <c r="K339" s="10" t="str">
        <f t="shared" si="42"/>
        <v>2.P.2.1.499</v>
      </c>
      <c r="L339" s="10" t="str">
        <f t="shared" si="41"/>
        <v>2.P.2.1.499</v>
      </c>
      <c r="M339" s="12" t="s">
        <v>1871</v>
      </c>
      <c r="N339" t="s">
        <v>1581</v>
      </c>
      <c r="O339" t="str">
        <f t="shared" si="40"/>
        <v>2.P</v>
      </c>
    </row>
    <row r="340" spans="3:15" x14ac:dyDescent="0.25">
      <c r="C340" s="9">
        <v>394</v>
      </c>
      <c r="D340" s="16">
        <v>4999</v>
      </c>
      <c r="E340" s="10" t="str">
        <f t="shared" si="38"/>
        <v>4999</v>
      </c>
      <c r="F340" s="10" t="str">
        <f t="shared" si="39"/>
        <v>499</v>
      </c>
      <c r="G340" s="10">
        <f t="shared" si="36"/>
        <v>0</v>
      </c>
      <c r="H340" s="10" t="b">
        <f>IF(ISERROR(VLOOKUP(E340,cuentas_pyme!C:C,1,FALSE)),FALSE,TRUE)</f>
        <v>1</v>
      </c>
      <c r="I340" s="10" t="s">
        <v>2847</v>
      </c>
      <c r="J340" s="11" t="s">
        <v>2849</v>
      </c>
      <c r="K340" s="10" t="str">
        <f t="shared" si="42"/>
        <v>2.P.2.1.499</v>
      </c>
      <c r="L340" s="10" t="str">
        <f t="shared" si="41"/>
        <v>2.P.2.1.499</v>
      </c>
      <c r="M340" s="12" t="s">
        <v>1872</v>
      </c>
      <c r="N340" t="s">
        <v>1581</v>
      </c>
      <c r="O340" t="str">
        <f t="shared" si="40"/>
        <v>2.P</v>
      </c>
    </row>
    <row r="341" spans="3:15" x14ac:dyDescent="0.25">
      <c r="C341" s="9">
        <v>397</v>
      </c>
      <c r="D341" s="16">
        <v>500</v>
      </c>
      <c r="E341" s="10" t="str">
        <f t="shared" si="38"/>
        <v>500</v>
      </c>
      <c r="F341" s="10" t="str">
        <f t="shared" si="39"/>
        <v>50</v>
      </c>
      <c r="G341" s="10">
        <f t="shared" si="36"/>
        <v>0</v>
      </c>
      <c r="H341" s="10" t="b">
        <f>IF(ISERROR(VLOOKUP(E341,cuentas_pyme!C:C,1,FALSE)),FALSE,TRUE)</f>
        <v>1</v>
      </c>
      <c r="I341" s="10" t="str">
        <f>VLOOKUP(D341,cuentas_balance!C:I,7,FALSE)</f>
        <v>2.P.2.2.3</v>
      </c>
      <c r="J341" s="11" t="str">
        <f t="shared" si="37"/>
        <v>2.P.2.2.3.500</v>
      </c>
      <c r="K341" s="10" t="str">
        <f t="shared" si="42"/>
        <v>2.P.2.2.3</v>
      </c>
      <c r="L341" s="10" t="str">
        <f t="shared" si="41"/>
        <v>2.P.2.2.3</v>
      </c>
      <c r="M341" s="12" t="s">
        <v>1873</v>
      </c>
      <c r="N341" t="s">
        <v>1581</v>
      </c>
      <c r="O341" t="str">
        <f t="shared" si="40"/>
        <v>2.P</v>
      </c>
    </row>
    <row r="342" spans="3:15" x14ac:dyDescent="0.25">
      <c r="C342" s="9">
        <v>400</v>
      </c>
      <c r="D342" s="16">
        <v>505</v>
      </c>
      <c r="E342" s="10" t="str">
        <f t="shared" si="38"/>
        <v>505</v>
      </c>
      <c r="F342" s="10" t="str">
        <f t="shared" si="39"/>
        <v>50</v>
      </c>
      <c r="G342" s="10">
        <f t="shared" si="36"/>
        <v>0</v>
      </c>
      <c r="H342" s="10" t="b">
        <f>IF(ISERROR(VLOOKUP(E342,cuentas_pyme!C:C,1,FALSE)),FALSE,TRUE)</f>
        <v>1</v>
      </c>
      <c r="I342" s="10" t="str">
        <f>VLOOKUP(D342,cuentas_balance!C:I,7,FALSE)</f>
        <v>2.P.2.2.3</v>
      </c>
      <c r="J342" s="11" t="str">
        <f t="shared" si="37"/>
        <v>2.P.2.2.3.505</v>
      </c>
      <c r="K342" s="10" t="str">
        <f t="shared" si="42"/>
        <v>2.P.2.2.3</v>
      </c>
      <c r="L342" s="10" t="str">
        <f t="shared" si="41"/>
        <v>2.P.2.2.3</v>
      </c>
      <c r="M342" s="12" t="s">
        <v>1874</v>
      </c>
      <c r="N342" t="s">
        <v>1581</v>
      </c>
      <c r="O342" t="str">
        <f t="shared" si="40"/>
        <v>2.P</v>
      </c>
    </row>
    <row r="343" spans="3:15" x14ac:dyDescent="0.25">
      <c r="C343" s="9">
        <v>401</v>
      </c>
      <c r="D343" s="16">
        <v>506</v>
      </c>
      <c r="E343" s="10" t="str">
        <f t="shared" si="38"/>
        <v>506</v>
      </c>
      <c r="F343" s="10" t="str">
        <f t="shared" si="39"/>
        <v>50</v>
      </c>
      <c r="G343" s="10">
        <f t="shared" si="36"/>
        <v>0</v>
      </c>
      <c r="H343" s="10" t="b">
        <f>IF(ISERROR(VLOOKUP(E343,cuentas_pyme!C:C,1,FALSE)),FALSE,TRUE)</f>
        <v>1</v>
      </c>
      <c r="I343" s="10" t="str">
        <f>VLOOKUP(D343,cuentas_balance!C:I,7,FALSE)</f>
        <v>2.P.2.2.3</v>
      </c>
      <c r="J343" s="11" t="str">
        <f t="shared" si="37"/>
        <v>2.P.2.2.3.506</v>
      </c>
      <c r="K343" s="10" t="str">
        <f t="shared" si="42"/>
        <v>2.P.2.2.3</v>
      </c>
      <c r="L343" s="10" t="str">
        <f t="shared" si="41"/>
        <v>2.P.2.2.3</v>
      </c>
      <c r="M343" s="12" t="s">
        <v>1875</v>
      </c>
      <c r="N343" t="s">
        <v>1581</v>
      </c>
      <c r="O343" t="str">
        <f t="shared" si="40"/>
        <v>2.P</v>
      </c>
    </row>
    <row r="344" spans="3:15" x14ac:dyDescent="0.25">
      <c r="C344" s="9">
        <v>403</v>
      </c>
      <c r="D344" s="16">
        <v>509</v>
      </c>
      <c r="E344" s="10" t="str">
        <f t="shared" si="38"/>
        <v>509</v>
      </c>
      <c r="F344" s="10" t="str">
        <f t="shared" si="39"/>
        <v>50</v>
      </c>
      <c r="G344" s="10">
        <f t="shared" si="36"/>
        <v>1</v>
      </c>
      <c r="H344" s="10" t="b">
        <f>IF(ISERROR(VLOOKUP(E344,cuentas_pyme!C:C,1,FALSE)),FALSE,TRUE)</f>
        <v>1</v>
      </c>
      <c r="I344" s="10" t="str">
        <f>VLOOKUP(D344,cuentas_balance!C:I,7,FALSE)</f>
        <v>2.P.2.2.3</v>
      </c>
      <c r="J344" s="11" t="str">
        <f t="shared" si="37"/>
        <v>2.P.2.2.3.509</v>
      </c>
      <c r="K344" s="10" t="str">
        <f t="shared" si="42"/>
        <v>2.P.2.2.3</v>
      </c>
      <c r="L344" s="10" t="str">
        <f t="shared" si="41"/>
        <v>2.P.2.2.3</v>
      </c>
      <c r="M344" s="12" t="s">
        <v>1876</v>
      </c>
      <c r="N344" t="s">
        <v>1581</v>
      </c>
      <c r="O344" t="str">
        <f t="shared" si="40"/>
        <v>2.P</v>
      </c>
    </row>
    <row r="345" spans="3:15" x14ac:dyDescent="0.25">
      <c r="C345" s="9">
        <v>404</v>
      </c>
      <c r="D345" s="16">
        <v>5090</v>
      </c>
      <c r="E345" s="10" t="str">
        <f t="shared" si="38"/>
        <v>5090</v>
      </c>
      <c r="F345" s="10" t="str">
        <f t="shared" si="39"/>
        <v>509</v>
      </c>
      <c r="G345" s="10">
        <f t="shared" si="36"/>
        <v>0</v>
      </c>
      <c r="H345" s="10" t="b">
        <f>IF(ISERROR(VLOOKUP(E345,cuentas_pyme!C:C,1,FALSE)),FALSE,TRUE)</f>
        <v>1</v>
      </c>
      <c r="I345" s="10" t="s">
        <v>2850</v>
      </c>
      <c r="J345" s="11" t="s">
        <v>2851</v>
      </c>
      <c r="K345" s="10" t="str">
        <f t="shared" si="42"/>
        <v>2.P.2.2.3.509</v>
      </c>
      <c r="L345" s="10" t="str">
        <f t="shared" si="41"/>
        <v>2.P.2.2.3.509</v>
      </c>
      <c r="M345" s="12" t="s">
        <v>1877</v>
      </c>
      <c r="N345" t="s">
        <v>1581</v>
      </c>
      <c r="O345" t="str">
        <f t="shared" si="40"/>
        <v>2.P</v>
      </c>
    </row>
    <row r="346" spans="3:15" x14ac:dyDescent="0.25">
      <c r="C346" s="9">
        <v>406</v>
      </c>
      <c r="D346" s="16">
        <v>5095</v>
      </c>
      <c r="E346" s="10" t="str">
        <f t="shared" si="38"/>
        <v>5095</v>
      </c>
      <c r="F346" s="10" t="str">
        <f t="shared" si="39"/>
        <v>509</v>
      </c>
      <c r="G346" s="10">
        <f t="shared" si="36"/>
        <v>0</v>
      </c>
      <c r="H346" s="10" t="b">
        <f>IF(ISERROR(VLOOKUP(E346,cuentas_pyme!C:C,1,FALSE)),FALSE,TRUE)</f>
        <v>1</v>
      </c>
      <c r="I346" s="10" t="s">
        <v>2850</v>
      </c>
      <c r="J346" s="11" t="s">
        <v>2852</v>
      </c>
      <c r="K346" s="10" t="str">
        <f t="shared" si="42"/>
        <v>2.P.2.2.3.509</v>
      </c>
      <c r="L346" s="10" t="str">
        <f t="shared" si="41"/>
        <v>2.P.2.2.3.509</v>
      </c>
      <c r="M346" s="12" t="s">
        <v>1878</v>
      </c>
      <c r="N346" t="s">
        <v>1581</v>
      </c>
      <c r="O346" t="str">
        <f t="shared" si="40"/>
        <v>2.P</v>
      </c>
    </row>
    <row r="347" spans="3:15" x14ac:dyDescent="0.25">
      <c r="C347" s="9">
        <v>409</v>
      </c>
      <c r="D347" s="16">
        <v>5103</v>
      </c>
      <c r="E347" s="10" t="str">
        <f t="shared" si="38"/>
        <v>5103</v>
      </c>
      <c r="F347" s="10" t="str">
        <f t="shared" si="39"/>
        <v>510</v>
      </c>
      <c r="G347" s="10">
        <f t="shared" si="36"/>
        <v>0</v>
      </c>
      <c r="H347" s="10" t="b">
        <f>IF(ISERROR(VLOOKUP(E347,cuentas_pyme!C:C,1,FALSE)),FALSE,TRUE)</f>
        <v>1</v>
      </c>
      <c r="I347" s="10" t="str">
        <f>VLOOKUP(D347,cuentas_balance!C:I,7,FALSE)</f>
        <v>2.P.2.3</v>
      </c>
      <c r="J347" s="11" t="str">
        <f t="shared" si="37"/>
        <v>2.P.2.3.5103</v>
      </c>
      <c r="K347" s="10" t="str">
        <f t="shared" si="42"/>
        <v>2.P.2.3</v>
      </c>
      <c r="L347" s="10" t="str">
        <f t="shared" si="41"/>
        <v>2.P.2.3</v>
      </c>
      <c r="M347" s="12" t="s">
        <v>1879</v>
      </c>
      <c r="N347" t="s">
        <v>1581</v>
      </c>
      <c r="O347" t="str">
        <f t="shared" si="40"/>
        <v>2.P</v>
      </c>
    </row>
    <row r="348" spans="3:15" x14ac:dyDescent="0.25">
      <c r="C348" s="9">
        <v>410</v>
      </c>
      <c r="D348" s="16">
        <v>5104</v>
      </c>
      <c r="E348" s="10" t="str">
        <f t="shared" si="38"/>
        <v>5104</v>
      </c>
      <c r="F348" s="10" t="str">
        <f t="shared" si="39"/>
        <v>510</v>
      </c>
      <c r="G348" s="10">
        <f t="shared" si="36"/>
        <v>0</v>
      </c>
      <c r="H348" s="10" t="b">
        <f>IF(ISERROR(VLOOKUP(E348,cuentas_pyme!C:C,1,FALSE)),FALSE,TRUE)</f>
        <v>1</v>
      </c>
      <c r="I348" s="10" t="str">
        <f>VLOOKUP(D348,cuentas_balance!C:I,7,FALSE)</f>
        <v>2.P.2.3</v>
      </c>
      <c r="J348" s="11" t="str">
        <f t="shared" si="37"/>
        <v>2.P.2.3.5104</v>
      </c>
      <c r="K348" s="10" t="str">
        <f t="shared" si="42"/>
        <v>2.P.2.3</v>
      </c>
      <c r="L348" s="10" t="str">
        <f t="shared" si="41"/>
        <v>2.P.2.3</v>
      </c>
      <c r="M348" s="12" t="s">
        <v>1880</v>
      </c>
      <c r="N348" t="s">
        <v>1581</v>
      </c>
      <c r="O348" t="str">
        <f t="shared" si="40"/>
        <v>2.P</v>
      </c>
    </row>
    <row r="349" spans="3:15" x14ac:dyDescent="0.25">
      <c r="C349" s="9">
        <v>411</v>
      </c>
      <c r="D349" s="16">
        <v>5105</v>
      </c>
      <c r="E349" s="10" t="str">
        <f t="shared" si="38"/>
        <v>5105</v>
      </c>
      <c r="F349" s="10" t="str">
        <f t="shared" si="39"/>
        <v>510</v>
      </c>
      <c r="G349" s="10">
        <f t="shared" si="36"/>
        <v>0</v>
      </c>
      <c r="H349" s="10" t="b">
        <f>IF(ISERROR(VLOOKUP(E349,cuentas_pyme!C:C,1,FALSE)),FALSE,TRUE)</f>
        <v>1</v>
      </c>
      <c r="I349" s="10" t="str">
        <f>VLOOKUP(D349,cuentas_balance!C:I,7,FALSE)</f>
        <v>2.P.2.2.1</v>
      </c>
      <c r="J349" s="11" t="str">
        <f t="shared" si="37"/>
        <v>2.P.2.2.1.5105</v>
      </c>
      <c r="K349" s="10" t="str">
        <f t="shared" si="42"/>
        <v>2.P.2.2.1</v>
      </c>
      <c r="L349" s="10" t="str">
        <f t="shared" si="41"/>
        <v>2.P.2.2.1</v>
      </c>
      <c r="M349" s="12" t="s">
        <v>1881</v>
      </c>
      <c r="N349" t="s">
        <v>1581</v>
      </c>
      <c r="O349" t="str">
        <f t="shared" si="40"/>
        <v>2.P</v>
      </c>
    </row>
    <row r="350" spans="3:15" x14ac:dyDescent="0.25">
      <c r="C350" s="9">
        <v>413</v>
      </c>
      <c r="D350" s="16">
        <v>5113</v>
      </c>
      <c r="E350" s="10" t="str">
        <f t="shared" si="38"/>
        <v>5113</v>
      </c>
      <c r="F350" s="10" t="str">
        <f t="shared" si="39"/>
        <v>511</v>
      </c>
      <c r="G350" s="10">
        <f t="shared" si="36"/>
        <v>0</v>
      </c>
      <c r="H350" s="10" t="b">
        <f>IF(ISERROR(VLOOKUP(E350,cuentas_pyme!C:C,1,FALSE)),FALSE,TRUE)</f>
        <v>1</v>
      </c>
      <c r="I350" s="10" t="str">
        <f>VLOOKUP(D350,cuentas_balance!C:I,7,FALSE)</f>
        <v>2.P.2.3</v>
      </c>
      <c r="J350" s="11" t="str">
        <f t="shared" si="37"/>
        <v>2.P.2.3.5113</v>
      </c>
      <c r="K350" s="10" t="str">
        <f t="shared" si="42"/>
        <v>2.P.2.3</v>
      </c>
      <c r="L350" s="10" t="str">
        <f t="shared" si="41"/>
        <v>2.P.2.3</v>
      </c>
      <c r="M350" s="12" t="s">
        <v>1882</v>
      </c>
      <c r="N350" t="s">
        <v>1581</v>
      </c>
      <c r="O350" t="str">
        <f t="shared" si="40"/>
        <v>2.P</v>
      </c>
    </row>
    <row r="351" spans="3:15" x14ac:dyDescent="0.25">
      <c r="C351" s="9">
        <v>414</v>
      </c>
      <c r="D351" s="16">
        <v>5114</v>
      </c>
      <c r="E351" s="10" t="str">
        <f t="shared" si="38"/>
        <v>5114</v>
      </c>
      <c r="F351" s="10" t="str">
        <f t="shared" si="39"/>
        <v>511</v>
      </c>
      <c r="G351" s="10">
        <f t="shared" si="36"/>
        <v>0</v>
      </c>
      <c r="H351" s="10" t="b">
        <f>IF(ISERROR(VLOOKUP(E351,cuentas_pyme!C:C,1,FALSE)),FALSE,TRUE)</f>
        <v>1</v>
      </c>
      <c r="I351" s="10" t="str">
        <f>VLOOKUP(D351,cuentas_balance!C:I,7,FALSE)</f>
        <v>2.P.2.3</v>
      </c>
      <c r="J351" s="11" t="str">
        <f t="shared" si="37"/>
        <v>2.P.2.3.5114</v>
      </c>
      <c r="K351" s="10" t="str">
        <f t="shared" si="42"/>
        <v>2.P.2.3</v>
      </c>
      <c r="L351" s="10" t="str">
        <f t="shared" si="41"/>
        <v>2.P.2.3</v>
      </c>
      <c r="M351" s="12" t="s">
        <v>1883</v>
      </c>
      <c r="N351" t="s">
        <v>1581</v>
      </c>
      <c r="O351" t="str">
        <f t="shared" si="40"/>
        <v>2.P</v>
      </c>
    </row>
    <row r="352" spans="3:15" x14ac:dyDescent="0.25">
      <c r="C352" s="9">
        <v>415</v>
      </c>
      <c r="D352" s="16">
        <v>5115</v>
      </c>
      <c r="E352" s="10" t="str">
        <f t="shared" si="38"/>
        <v>5115</v>
      </c>
      <c r="F352" s="10" t="str">
        <f t="shared" si="39"/>
        <v>511</v>
      </c>
      <c r="G352" s="10">
        <f t="shared" si="36"/>
        <v>0</v>
      </c>
      <c r="H352" s="10" t="b">
        <f>IF(ISERROR(VLOOKUP(E352,cuentas_pyme!C:C,1,FALSE)),FALSE,TRUE)</f>
        <v>1</v>
      </c>
      <c r="I352" s="10" t="str">
        <f>VLOOKUP(D352,cuentas_balance!C:I,7,FALSE)</f>
        <v>2.P.2.2.3</v>
      </c>
      <c r="J352" s="11" t="str">
        <f t="shared" si="37"/>
        <v>2.P.2.2.3.5115</v>
      </c>
      <c r="K352" s="10" t="str">
        <f t="shared" si="42"/>
        <v>2.P.2.2.3</v>
      </c>
      <c r="L352" s="10" t="str">
        <f t="shared" si="41"/>
        <v>2.P.2.2.3</v>
      </c>
      <c r="M352" s="12" t="s">
        <v>1884</v>
      </c>
      <c r="N352" t="s">
        <v>1581</v>
      </c>
      <c r="O352" t="str">
        <f t="shared" si="40"/>
        <v>2.P</v>
      </c>
    </row>
    <row r="353" spans="3:15" x14ac:dyDescent="0.25">
      <c r="C353" s="9">
        <v>417</v>
      </c>
      <c r="D353" s="16">
        <v>5123</v>
      </c>
      <c r="E353" s="10" t="str">
        <f t="shared" si="38"/>
        <v>5123</v>
      </c>
      <c r="F353" s="10" t="str">
        <f t="shared" si="39"/>
        <v>512</v>
      </c>
      <c r="G353" s="10">
        <f t="shared" si="36"/>
        <v>0</v>
      </c>
      <c r="H353" s="10" t="b">
        <f>IF(ISERROR(VLOOKUP(E353,cuentas_pyme!C:C,1,FALSE)),FALSE,TRUE)</f>
        <v>1</v>
      </c>
      <c r="I353" s="10" t="str">
        <f>VLOOKUP(D353,cuentas_balance!C:I,7,FALSE)</f>
        <v>2.P.2.3</v>
      </c>
      <c r="J353" s="11" t="str">
        <f t="shared" si="37"/>
        <v>2.P.2.3.5123</v>
      </c>
      <c r="K353" s="10" t="str">
        <f t="shared" si="42"/>
        <v>2.P.2.3</v>
      </c>
      <c r="L353" s="10" t="str">
        <f t="shared" si="41"/>
        <v>2.P.2.3</v>
      </c>
      <c r="M353" s="12" t="s">
        <v>1885</v>
      </c>
      <c r="N353" t="s">
        <v>1581</v>
      </c>
      <c r="O353" t="str">
        <f t="shared" si="40"/>
        <v>2.P</v>
      </c>
    </row>
    <row r="354" spans="3:15" x14ac:dyDescent="0.25">
      <c r="C354" s="9">
        <v>418</v>
      </c>
      <c r="D354" s="16">
        <v>5124</v>
      </c>
      <c r="E354" s="10" t="str">
        <f t="shared" si="38"/>
        <v>5124</v>
      </c>
      <c r="F354" s="10" t="str">
        <f t="shared" si="39"/>
        <v>512</v>
      </c>
      <c r="G354" s="10">
        <f t="shared" si="36"/>
        <v>0</v>
      </c>
      <c r="H354" s="10" t="b">
        <f>IF(ISERROR(VLOOKUP(E354,cuentas_pyme!C:C,1,FALSE)),FALSE,TRUE)</f>
        <v>1</v>
      </c>
      <c r="I354" s="10" t="str">
        <f>VLOOKUP(D354,cuentas_balance!C:I,7,FALSE)</f>
        <v>2.P.2.3</v>
      </c>
      <c r="J354" s="11" t="str">
        <f t="shared" si="37"/>
        <v>2.P.2.3.5124</v>
      </c>
      <c r="K354" s="10" t="str">
        <f t="shared" si="42"/>
        <v>2.P.2.3</v>
      </c>
      <c r="L354" s="10" t="str">
        <f t="shared" si="41"/>
        <v>2.P.2.3</v>
      </c>
      <c r="M354" s="12" t="s">
        <v>1886</v>
      </c>
      <c r="N354" t="s">
        <v>1581</v>
      </c>
      <c r="O354" t="str">
        <f t="shared" si="40"/>
        <v>2.P</v>
      </c>
    </row>
    <row r="355" spans="3:15" x14ac:dyDescent="0.25">
      <c r="C355" s="9">
        <v>419</v>
      </c>
      <c r="D355" s="16">
        <v>5125</v>
      </c>
      <c r="E355" s="10" t="str">
        <f t="shared" si="38"/>
        <v>5125</v>
      </c>
      <c r="F355" s="10" t="str">
        <f t="shared" si="39"/>
        <v>512</v>
      </c>
      <c r="G355" s="10">
        <f t="shared" si="36"/>
        <v>0</v>
      </c>
      <c r="H355" s="10" t="b">
        <f>IF(ISERROR(VLOOKUP(E355,cuentas_pyme!C:C,1,FALSE)),FALSE,TRUE)</f>
        <v>1</v>
      </c>
      <c r="I355" s="10" t="str">
        <f>VLOOKUP(D355,cuentas_balance!C:I,7,FALSE)</f>
        <v>2.P.2.2.2</v>
      </c>
      <c r="J355" s="11" t="str">
        <f t="shared" si="37"/>
        <v>2.P.2.2.2.5125</v>
      </c>
      <c r="K355" s="10" t="str">
        <f t="shared" si="42"/>
        <v>2.P.2.2.2</v>
      </c>
      <c r="L355" s="10" t="str">
        <f t="shared" si="41"/>
        <v>2.P.2.2.2</v>
      </c>
      <c r="M355" s="12" t="s">
        <v>1887</v>
      </c>
      <c r="N355" t="s">
        <v>1581</v>
      </c>
      <c r="O355" t="str">
        <f t="shared" si="40"/>
        <v>2.P</v>
      </c>
    </row>
    <row r="356" spans="3:15" x14ac:dyDescent="0.25">
      <c r="C356" s="9">
        <v>421</v>
      </c>
      <c r="D356" s="16">
        <v>5133</v>
      </c>
      <c r="E356" s="10" t="str">
        <f t="shared" si="38"/>
        <v>5133</v>
      </c>
      <c r="F356" s="10" t="str">
        <f t="shared" si="39"/>
        <v>513</v>
      </c>
      <c r="G356" s="10">
        <f t="shared" si="36"/>
        <v>0</v>
      </c>
      <c r="H356" s="10" t="b">
        <f>IF(ISERROR(VLOOKUP(E356,cuentas_pyme!C:C,1,FALSE)),FALSE,TRUE)</f>
        <v>1</v>
      </c>
      <c r="I356" s="10" t="str">
        <f>VLOOKUP(D356,cuentas_balance!C:I,7,FALSE)</f>
        <v>2.P.2.3</v>
      </c>
      <c r="J356" s="11" t="str">
        <f t="shared" si="37"/>
        <v>2.P.2.3.5133</v>
      </c>
      <c r="K356" s="10" t="str">
        <f t="shared" si="42"/>
        <v>2.P.2.3</v>
      </c>
      <c r="L356" s="10" t="str">
        <f t="shared" si="41"/>
        <v>2.P.2.3</v>
      </c>
      <c r="M356" s="12" t="s">
        <v>1888</v>
      </c>
      <c r="N356" t="s">
        <v>1581</v>
      </c>
      <c r="O356" t="str">
        <f t="shared" si="40"/>
        <v>2.P</v>
      </c>
    </row>
    <row r="357" spans="3:15" x14ac:dyDescent="0.25">
      <c r="C357" s="9">
        <v>422</v>
      </c>
      <c r="D357" s="16">
        <v>5134</v>
      </c>
      <c r="E357" s="10" t="str">
        <f t="shared" si="38"/>
        <v>5134</v>
      </c>
      <c r="F357" s="10" t="str">
        <f t="shared" si="39"/>
        <v>513</v>
      </c>
      <c r="G357" s="10">
        <f t="shared" si="36"/>
        <v>0</v>
      </c>
      <c r="H357" s="10" t="b">
        <f>IF(ISERROR(VLOOKUP(E357,cuentas_pyme!C:C,1,FALSE)),FALSE,TRUE)</f>
        <v>1</v>
      </c>
      <c r="I357" s="10" t="str">
        <f>VLOOKUP(D357,cuentas_balance!C:I,7,FALSE)</f>
        <v>2.P.2.3</v>
      </c>
      <c r="J357" s="11" t="str">
        <f t="shared" si="37"/>
        <v>2.P.2.3.5134</v>
      </c>
      <c r="K357" s="10" t="str">
        <f t="shared" si="42"/>
        <v>2.P.2.3</v>
      </c>
      <c r="L357" s="10" t="str">
        <f t="shared" si="41"/>
        <v>2.P.2.3</v>
      </c>
      <c r="M357" s="12" t="s">
        <v>1889</v>
      </c>
      <c r="N357" t="s">
        <v>1581</v>
      </c>
      <c r="O357" t="str">
        <f t="shared" si="40"/>
        <v>2.P</v>
      </c>
    </row>
    <row r="358" spans="3:15" x14ac:dyDescent="0.25">
      <c r="C358" s="9">
        <v>423</v>
      </c>
      <c r="D358" s="16">
        <v>5135</v>
      </c>
      <c r="E358" s="10" t="str">
        <f t="shared" si="38"/>
        <v>5135</v>
      </c>
      <c r="F358" s="10" t="str">
        <f t="shared" si="39"/>
        <v>513</v>
      </c>
      <c r="G358" s="10">
        <f t="shared" si="36"/>
        <v>0</v>
      </c>
      <c r="H358" s="10" t="b">
        <f>IF(ISERROR(VLOOKUP(E358,cuentas_pyme!C:C,1,FALSE)),FALSE,TRUE)</f>
        <v>1</v>
      </c>
      <c r="I358" s="10" t="str">
        <f>VLOOKUP(D358,cuentas_balance!C:I,7,FALSE)</f>
        <v>2.P.2.2.3</v>
      </c>
      <c r="J358" s="11" t="str">
        <f t="shared" si="37"/>
        <v>2.P.2.2.3.5135</v>
      </c>
      <c r="K358" s="10" t="str">
        <f t="shared" si="42"/>
        <v>2.P.2.2.3</v>
      </c>
      <c r="L358" s="10" t="str">
        <f t="shared" si="41"/>
        <v>2.P.2.2.3</v>
      </c>
      <c r="M358" s="12" t="s">
        <v>1890</v>
      </c>
      <c r="N358" t="s">
        <v>1581</v>
      </c>
      <c r="O358" t="str">
        <f t="shared" si="40"/>
        <v>2.P</v>
      </c>
    </row>
    <row r="359" spans="3:15" x14ac:dyDescent="0.25">
      <c r="C359" s="9">
        <v>425</v>
      </c>
      <c r="D359" s="16">
        <v>5143</v>
      </c>
      <c r="E359" s="10" t="str">
        <f t="shared" si="38"/>
        <v>5143</v>
      </c>
      <c r="F359" s="10" t="str">
        <f t="shared" si="39"/>
        <v>514</v>
      </c>
      <c r="G359" s="10">
        <f t="shared" si="36"/>
        <v>0</v>
      </c>
      <c r="H359" s="10" t="b">
        <f>IF(ISERROR(VLOOKUP(E359,cuentas_pyme!C:C,1,FALSE)),FALSE,TRUE)</f>
        <v>1</v>
      </c>
      <c r="I359" s="10" t="str">
        <f>VLOOKUP(D359,cuentas_balance!C:I,7,FALSE)</f>
        <v>2.P.2.3</v>
      </c>
      <c r="J359" s="11" t="str">
        <f t="shared" si="37"/>
        <v>2.P.2.3.5143</v>
      </c>
      <c r="K359" s="10" t="str">
        <f t="shared" si="42"/>
        <v>2.P.2.3</v>
      </c>
      <c r="L359" s="10" t="str">
        <f t="shared" si="41"/>
        <v>2.P.2.3</v>
      </c>
      <c r="M359" s="12" t="s">
        <v>1891</v>
      </c>
      <c r="N359" t="s">
        <v>1581</v>
      </c>
      <c r="O359" t="str">
        <f t="shared" ref="O359:O390" si="43">IFERROR(VLOOKUP(N359,$Q$4:$R$9,2,FALSE),"")</f>
        <v>2.P</v>
      </c>
    </row>
    <row r="360" spans="3:15" x14ac:dyDescent="0.25">
      <c r="C360" s="9">
        <v>426</v>
      </c>
      <c r="D360" s="16">
        <v>5144</v>
      </c>
      <c r="E360" s="10" t="str">
        <f t="shared" si="38"/>
        <v>5144</v>
      </c>
      <c r="F360" s="10" t="str">
        <f t="shared" si="39"/>
        <v>514</v>
      </c>
      <c r="G360" s="10">
        <f t="shared" si="36"/>
        <v>0</v>
      </c>
      <c r="H360" s="10" t="b">
        <f>IF(ISERROR(VLOOKUP(E360,cuentas_pyme!C:C,1,FALSE)),FALSE,TRUE)</f>
        <v>1</v>
      </c>
      <c r="I360" s="10" t="str">
        <f>VLOOKUP(D360,cuentas_balance!C:I,7,FALSE)</f>
        <v>2.P.2.3</v>
      </c>
      <c r="J360" s="11" t="str">
        <f t="shared" si="37"/>
        <v>2.P.2.3.5144</v>
      </c>
      <c r="K360" s="10" t="str">
        <f t="shared" si="42"/>
        <v>2.P.2.3</v>
      </c>
      <c r="L360" s="10" t="str">
        <f t="shared" si="41"/>
        <v>2.P.2.3</v>
      </c>
      <c r="M360" s="12" t="s">
        <v>1892</v>
      </c>
      <c r="N360" t="s">
        <v>1581</v>
      </c>
      <c r="O360" t="str">
        <f t="shared" si="43"/>
        <v>2.P</v>
      </c>
    </row>
    <row r="361" spans="3:15" x14ac:dyDescent="0.25">
      <c r="C361" s="9">
        <v>427</v>
      </c>
      <c r="D361" s="16">
        <v>5145</v>
      </c>
      <c r="E361" s="10" t="str">
        <f t="shared" si="38"/>
        <v>5145</v>
      </c>
      <c r="F361" s="10" t="str">
        <f t="shared" si="39"/>
        <v>514</v>
      </c>
      <c r="G361" s="10">
        <f t="shared" si="36"/>
        <v>0</v>
      </c>
      <c r="H361" s="10" t="b">
        <f>IF(ISERROR(VLOOKUP(E361,cuentas_pyme!C:C,1,FALSE)),FALSE,TRUE)</f>
        <v>1</v>
      </c>
      <c r="I361" s="10" t="str">
        <f>VLOOKUP(D361,cuentas_balance!C:I,7,FALSE)</f>
        <v>2.P.2.2.3</v>
      </c>
      <c r="J361" s="11" t="str">
        <f t="shared" si="37"/>
        <v>2.P.2.2.3.5145</v>
      </c>
      <c r="K361" s="10" t="str">
        <f t="shared" si="42"/>
        <v>2.P.2.2.3</v>
      </c>
      <c r="L361" s="10" t="str">
        <f t="shared" si="41"/>
        <v>2.P.2.2.3</v>
      </c>
      <c r="M361" s="12" t="s">
        <v>1893</v>
      </c>
      <c r="N361" t="s">
        <v>1581</v>
      </c>
      <c r="O361" t="str">
        <f t="shared" si="43"/>
        <v>2.P</v>
      </c>
    </row>
    <row r="362" spans="3:15" x14ac:dyDescent="0.25">
      <c r="C362" s="9">
        <v>429</v>
      </c>
      <c r="D362" s="16">
        <v>520</v>
      </c>
      <c r="E362" s="10" t="str">
        <f t="shared" si="38"/>
        <v>520</v>
      </c>
      <c r="F362" s="10" t="str">
        <f t="shared" si="39"/>
        <v>52</v>
      </c>
      <c r="G362" s="10">
        <f t="shared" si="36"/>
        <v>1</v>
      </c>
      <c r="H362" s="10" t="b">
        <f>IF(ISERROR(VLOOKUP(E362,cuentas_pyme!C:C,1,FALSE)),FALSE,TRUE)</f>
        <v>1</v>
      </c>
      <c r="I362" s="10" t="str">
        <f>VLOOKUP(D362,cuentas_balance!C:I,7,FALSE)</f>
        <v>2.P.2.2.1</v>
      </c>
      <c r="J362" s="11" t="str">
        <f t="shared" si="37"/>
        <v>2.P.2.2.1.520</v>
      </c>
      <c r="K362" s="10" t="str">
        <f t="shared" si="42"/>
        <v>2.P.2.2.1</v>
      </c>
      <c r="L362" s="10" t="str">
        <f t="shared" si="41"/>
        <v>2.P.2.2.1</v>
      </c>
      <c r="M362" s="12" t="s">
        <v>1894</v>
      </c>
      <c r="N362" t="s">
        <v>1581</v>
      </c>
      <c r="O362" t="str">
        <f t="shared" si="43"/>
        <v>2.P</v>
      </c>
    </row>
    <row r="363" spans="3:15" x14ac:dyDescent="0.25">
      <c r="C363" s="9">
        <v>430</v>
      </c>
      <c r="D363" s="16">
        <v>5200</v>
      </c>
      <c r="E363" s="10" t="str">
        <f t="shared" si="38"/>
        <v>5200</v>
      </c>
      <c r="F363" s="10" t="str">
        <f t="shared" si="39"/>
        <v>520</v>
      </c>
      <c r="G363" s="10">
        <f t="shared" si="36"/>
        <v>0</v>
      </c>
      <c r="H363" s="10" t="b">
        <f>IF(ISERROR(VLOOKUP(E363,cuentas_pyme!C:C,1,FALSE)),FALSE,TRUE)</f>
        <v>1</v>
      </c>
      <c r="I363" s="10" t="s">
        <v>2853</v>
      </c>
      <c r="J363" s="11" t="s">
        <v>2854</v>
      </c>
      <c r="K363" s="10" t="str">
        <f t="shared" si="42"/>
        <v>2.P.2.2.1.520</v>
      </c>
      <c r="L363" s="10" t="str">
        <f t="shared" si="41"/>
        <v>2.P.2.2.1.520</v>
      </c>
      <c r="M363" s="12" t="s">
        <v>1895</v>
      </c>
      <c r="N363" t="s">
        <v>1581</v>
      </c>
      <c r="O363" t="str">
        <f t="shared" si="43"/>
        <v>2.P</v>
      </c>
    </row>
    <row r="364" spans="3:15" x14ac:dyDescent="0.25">
      <c r="C364" s="9">
        <v>431</v>
      </c>
      <c r="D364" s="16">
        <v>5201</v>
      </c>
      <c r="E364" s="10" t="str">
        <f t="shared" si="38"/>
        <v>5201</v>
      </c>
      <c r="F364" s="10" t="str">
        <f t="shared" si="39"/>
        <v>520</v>
      </c>
      <c r="G364" s="10">
        <f t="shared" si="36"/>
        <v>0</v>
      </c>
      <c r="H364" s="10" t="b">
        <f>IF(ISERROR(VLOOKUP(E364,cuentas_pyme!C:C,1,FALSE)),FALSE,TRUE)</f>
        <v>1</v>
      </c>
      <c r="I364" s="10" t="s">
        <v>2853</v>
      </c>
      <c r="J364" s="11" t="s">
        <v>2855</v>
      </c>
      <c r="K364" s="10" t="str">
        <f t="shared" si="42"/>
        <v>2.P.2.2.1.520</v>
      </c>
      <c r="L364" s="10" t="str">
        <f t="shared" si="41"/>
        <v>2.P.2.2.1.520</v>
      </c>
      <c r="M364" s="12" t="s">
        <v>1896</v>
      </c>
      <c r="N364" t="s">
        <v>1581</v>
      </c>
      <c r="O364" t="str">
        <f t="shared" si="43"/>
        <v>2.P</v>
      </c>
    </row>
    <row r="365" spans="3:15" x14ac:dyDescent="0.25">
      <c r="C365" s="9">
        <v>432</v>
      </c>
      <c r="D365" s="16">
        <v>5208</v>
      </c>
      <c r="E365" s="10" t="str">
        <f t="shared" si="38"/>
        <v>5208</v>
      </c>
      <c r="F365" s="10" t="str">
        <f t="shared" si="39"/>
        <v>520</v>
      </c>
      <c r="G365" s="10">
        <f t="shared" si="36"/>
        <v>0</v>
      </c>
      <c r="H365" s="10" t="b">
        <f>IF(ISERROR(VLOOKUP(E365,cuentas_pyme!C:C,1,FALSE)),FALSE,TRUE)</f>
        <v>1</v>
      </c>
      <c r="I365" s="10" t="s">
        <v>2853</v>
      </c>
      <c r="J365" s="11" t="s">
        <v>2856</v>
      </c>
      <c r="K365" s="10" t="str">
        <f t="shared" si="42"/>
        <v>2.P.2.2.1.520</v>
      </c>
      <c r="L365" s="10" t="str">
        <f t="shared" si="41"/>
        <v>2.P.2.2.1.520</v>
      </c>
      <c r="M365" s="12" t="s">
        <v>1897</v>
      </c>
      <c r="N365" t="s">
        <v>1581</v>
      </c>
      <c r="O365" t="str">
        <f t="shared" si="43"/>
        <v>2.P</v>
      </c>
    </row>
    <row r="366" spans="3:15" x14ac:dyDescent="0.25">
      <c r="C366" s="9">
        <v>433</v>
      </c>
      <c r="D366" s="16">
        <v>5209</v>
      </c>
      <c r="E366" s="10" t="str">
        <f t="shared" si="38"/>
        <v>5209</v>
      </c>
      <c r="F366" s="10" t="str">
        <f t="shared" si="39"/>
        <v>520</v>
      </c>
      <c r="G366" s="10">
        <f t="shared" si="36"/>
        <v>0</v>
      </c>
      <c r="H366" s="10" t="b">
        <f>IF(ISERROR(VLOOKUP(E366,cuentas_pyme!C:C,1,FALSE)),FALSE,TRUE)</f>
        <v>1</v>
      </c>
      <c r="I366" s="10" t="s">
        <v>2853</v>
      </c>
      <c r="J366" s="11" t="s">
        <v>2857</v>
      </c>
      <c r="K366" s="10" t="str">
        <f t="shared" si="42"/>
        <v>2.P.2.2.1.520</v>
      </c>
      <c r="L366" s="10" t="str">
        <f t="shared" si="41"/>
        <v>2.P.2.2.1.520</v>
      </c>
      <c r="M366" s="12" t="s">
        <v>1898</v>
      </c>
      <c r="N366" t="s">
        <v>1581</v>
      </c>
      <c r="O366" t="str">
        <f t="shared" si="43"/>
        <v>2.P</v>
      </c>
    </row>
    <row r="367" spans="3:15" x14ac:dyDescent="0.25">
      <c r="C367" s="9">
        <v>434</v>
      </c>
      <c r="D367" s="16">
        <v>521</v>
      </c>
      <c r="E367" s="10" t="str">
        <f t="shared" si="38"/>
        <v>521</v>
      </c>
      <c r="F367" s="10" t="str">
        <f t="shared" si="39"/>
        <v>52</v>
      </c>
      <c r="G367" s="10">
        <f t="shared" si="36"/>
        <v>0</v>
      </c>
      <c r="H367" s="10" t="b">
        <f>IF(ISERROR(VLOOKUP(E367,cuentas_pyme!C:C,1,FALSE)),FALSE,TRUE)</f>
        <v>1</v>
      </c>
      <c r="I367" s="10" t="str">
        <f>VLOOKUP(D367,cuentas_balance!C:I,7,FALSE)</f>
        <v>2.P.2.2.3</v>
      </c>
      <c r="J367" s="11" t="str">
        <f t="shared" ref="J367:J415" si="44">I367&amp;"."&amp;E367</f>
        <v>2.P.2.2.3.521</v>
      </c>
      <c r="K367" s="10" t="str">
        <f t="shared" si="42"/>
        <v>2.P.2.2.3</v>
      </c>
      <c r="L367" s="10" t="str">
        <f t="shared" si="41"/>
        <v>2.P.2.2.3</v>
      </c>
      <c r="M367" s="12" t="s">
        <v>1899</v>
      </c>
      <c r="N367" t="s">
        <v>1581</v>
      </c>
      <c r="O367" t="str">
        <f t="shared" si="43"/>
        <v>2.P</v>
      </c>
    </row>
    <row r="368" spans="3:15" x14ac:dyDescent="0.25">
      <c r="C368" s="9">
        <v>435</v>
      </c>
      <c r="D368" s="16">
        <v>522</v>
      </c>
      <c r="E368" s="10" t="str">
        <f t="shared" si="38"/>
        <v>522</v>
      </c>
      <c r="F368" s="10" t="str">
        <f t="shared" si="39"/>
        <v>52</v>
      </c>
      <c r="G368" s="10">
        <f t="shared" si="36"/>
        <v>0</v>
      </c>
      <c r="H368" s="10" t="b">
        <f>IF(ISERROR(VLOOKUP(E368,cuentas_pyme!C:C,1,FALSE)),FALSE,TRUE)</f>
        <v>1</v>
      </c>
      <c r="I368" s="10" t="str">
        <f>VLOOKUP(D368,cuentas_balance!C:I,7,FALSE)</f>
        <v>2.P.2.2.3</v>
      </c>
      <c r="J368" s="11" t="str">
        <f t="shared" si="44"/>
        <v>2.P.2.2.3.522</v>
      </c>
      <c r="K368" s="10" t="str">
        <f t="shared" si="42"/>
        <v>2.P.2.2.3</v>
      </c>
      <c r="L368" s="10" t="str">
        <f t="shared" si="41"/>
        <v>2.P.2.2.3</v>
      </c>
      <c r="M368" s="12" t="s">
        <v>1900</v>
      </c>
      <c r="N368" t="s">
        <v>1581</v>
      </c>
      <c r="O368" t="str">
        <f t="shared" si="43"/>
        <v>2.P</v>
      </c>
    </row>
    <row r="369" spans="3:15" x14ac:dyDescent="0.25">
      <c r="C369" s="9">
        <v>436</v>
      </c>
      <c r="D369" s="16">
        <v>523</v>
      </c>
      <c r="E369" s="10" t="str">
        <f t="shared" si="38"/>
        <v>523</v>
      </c>
      <c r="F369" s="10" t="str">
        <f t="shared" si="39"/>
        <v>52</v>
      </c>
      <c r="G369" s="10">
        <f t="shared" si="36"/>
        <v>0</v>
      </c>
      <c r="H369" s="10" t="b">
        <f>IF(ISERROR(VLOOKUP(E369,cuentas_pyme!C:C,1,FALSE)),FALSE,TRUE)</f>
        <v>1</v>
      </c>
      <c r="I369" s="10" t="str">
        <f>VLOOKUP(D369,cuentas_balance!C:I,7,FALSE)</f>
        <v>2.P.2.2.3</v>
      </c>
      <c r="J369" s="11" t="str">
        <f t="shared" si="44"/>
        <v>2.P.2.2.3.523</v>
      </c>
      <c r="K369" s="10" t="str">
        <f t="shared" si="42"/>
        <v>2.P.2.2.3</v>
      </c>
      <c r="L369" s="10" t="str">
        <f t="shared" si="41"/>
        <v>2.P.2.2.3</v>
      </c>
      <c r="M369" s="12" t="s">
        <v>1901</v>
      </c>
      <c r="N369" t="s">
        <v>1581</v>
      </c>
      <c r="O369" t="str">
        <f t="shared" si="43"/>
        <v>2.P</v>
      </c>
    </row>
    <row r="370" spans="3:15" x14ac:dyDescent="0.25">
      <c r="C370" s="9">
        <v>437</v>
      </c>
      <c r="D370" s="16">
        <v>524</v>
      </c>
      <c r="E370" s="10" t="str">
        <f t="shared" si="38"/>
        <v>524</v>
      </c>
      <c r="F370" s="10" t="str">
        <f t="shared" si="39"/>
        <v>52</v>
      </c>
      <c r="G370" s="10">
        <f t="shared" si="36"/>
        <v>0</v>
      </c>
      <c r="H370" s="10" t="b">
        <f>IF(ISERROR(VLOOKUP(E370,cuentas_pyme!C:C,1,FALSE)),FALSE,TRUE)</f>
        <v>1</v>
      </c>
      <c r="I370" s="10" t="str">
        <f>VLOOKUP(D370,cuentas_balance!C:I,7,FALSE)</f>
        <v>2.P.2.2.2</v>
      </c>
      <c r="J370" s="11" t="str">
        <f t="shared" si="44"/>
        <v>2.P.2.2.2.524</v>
      </c>
      <c r="K370" s="10" t="str">
        <f t="shared" si="42"/>
        <v>2.P.2.2.2</v>
      </c>
      <c r="L370" s="10" t="str">
        <f t="shared" si="41"/>
        <v>2.P.2.2.2</v>
      </c>
      <c r="M370" s="12" t="s">
        <v>1902</v>
      </c>
      <c r="N370" t="s">
        <v>1581</v>
      </c>
      <c r="O370" t="str">
        <f t="shared" si="43"/>
        <v>2.P</v>
      </c>
    </row>
    <row r="371" spans="3:15" x14ac:dyDescent="0.25">
      <c r="C371" s="9">
        <v>438</v>
      </c>
      <c r="D371" s="16">
        <v>525</v>
      </c>
      <c r="E371" s="10" t="str">
        <f t="shared" si="38"/>
        <v>525</v>
      </c>
      <c r="F371" s="10" t="str">
        <f t="shared" si="39"/>
        <v>52</v>
      </c>
      <c r="G371" s="10">
        <f t="shared" si="36"/>
        <v>0</v>
      </c>
      <c r="H371" s="10" t="b">
        <f>IF(ISERROR(VLOOKUP(E371,cuentas_pyme!C:C,1,FALSE)),FALSE,TRUE)</f>
        <v>1</v>
      </c>
      <c r="I371" s="10" t="str">
        <f>VLOOKUP(D371,cuentas_balance!C:I,7,FALSE)</f>
        <v>2.P.2.2.3</v>
      </c>
      <c r="J371" s="11" t="str">
        <f t="shared" si="44"/>
        <v>2.P.2.2.3.525</v>
      </c>
      <c r="K371" s="10" t="str">
        <f t="shared" si="42"/>
        <v>2.P.2.2.3</v>
      </c>
      <c r="L371" s="10" t="str">
        <f t="shared" si="41"/>
        <v>2.P.2.2.3</v>
      </c>
      <c r="M371" s="12" t="s">
        <v>1903</v>
      </c>
      <c r="N371" t="s">
        <v>1581</v>
      </c>
      <c r="O371" t="str">
        <f t="shared" si="43"/>
        <v>2.P</v>
      </c>
    </row>
    <row r="372" spans="3:15" x14ac:dyDescent="0.25">
      <c r="C372" s="9">
        <v>439</v>
      </c>
      <c r="D372" s="16">
        <v>526</v>
      </c>
      <c r="E372" s="10" t="str">
        <f t="shared" si="38"/>
        <v>526</v>
      </c>
      <c r="F372" s="10" t="str">
        <f t="shared" si="39"/>
        <v>52</v>
      </c>
      <c r="G372" s="10">
        <f t="shared" si="36"/>
        <v>0</v>
      </c>
      <c r="H372" s="10" t="b">
        <f>IF(ISERROR(VLOOKUP(E372,cuentas_pyme!C:C,1,FALSE)),FALSE,TRUE)</f>
        <v>1</v>
      </c>
      <c r="I372" s="10" t="str">
        <f>VLOOKUP(D372,cuentas_balance!C:I,7,FALSE)</f>
        <v>2.P.2.2.3</v>
      </c>
      <c r="J372" s="11" t="str">
        <f t="shared" si="44"/>
        <v>2.P.2.2.3.526</v>
      </c>
      <c r="K372" s="10" t="str">
        <f t="shared" si="42"/>
        <v>2.P.2.2.3</v>
      </c>
      <c r="L372" s="10" t="str">
        <f t="shared" si="41"/>
        <v>2.P.2.2.3</v>
      </c>
      <c r="M372" s="12" t="s">
        <v>1904</v>
      </c>
      <c r="N372" t="s">
        <v>1581</v>
      </c>
      <c r="O372" t="str">
        <f t="shared" si="43"/>
        <v>2.P</v>
      </c>
    </row>
    <row r="373" spans="3:15" x14ac:dyDescent="0.25">
      <c r="C373" s="9">
        <v>440</v>
      </c>
      <c r="D373" s="16">
        <v>527</v>
      </c>
      <c r="E373" s="10" t="str">
        <f t="shared" si="38"/>
        <v>527</v>
      </c>
      <c r="F373" s="10" t="str">
        <f t="shared" si="39"/>
        <v>52</v>
      </c>
      <c r="G373" s="10">
        <f t="shared" si="36"/>
        <v>0</v>
      </c>
      <c r="H373" s="10" t="b">
        <f>IF(ISERROR(VLOOKUP(E373,cuentas_pyme!C:C,1,FALSE)),FALSE,TRUE)</f>
        <v>1</v>
      </c>
      <c r="I373" s="10" t="str">
        <f>VLOOKUP(D373,cuentas_balance!C:I,7,FALSE)</f>
        <v>2.P.2.2.1</v>
      </c>
      <c r="J373" s="11" t="str">
        <f t="shared" si="44"/>
        <v>2.P.2.2.1.527</v>
      </c>
      <c r="K373" s="10" t="str">
        <f t="shared" si="42"/>
        <v>2.P.2.2.1</v>
      </c>
      <c r="L373" s="10" t="str">
        <f t="shared" si="41"/>
        <v>2.P.2.2.1</v>
      </c>
      <c r="M373" s="12" t="s">
        <v>1905</v>
      </c>
      <c r="N373" t="s">
        <v>1581</v>
      </c>
      <c r="O373" t="str">
        <f t="shared" si="43"/>
        <v>2.P</v>
      </c>
    </row>
    <row r="374" spans="3:15" x14ac:dyDescent="0.25">
      <c r="C374" s="9">
        <v>441</v>
      </c>
      <c r="D374" s="16">
        <v>528</v>
      </c>
      <c r="E374" s="10" t="str">
        <f t="shared" si="38"/>
        <v>528</v>
      </c>
      <c r="F374" s="10" t="str">
        <f t="shared" si="39"/>
        <v>52</v>
      </c>
      <c r="G374" s="10">
        <f t="shared" si="36"/>
        <v>0</v>
      </c>
      <c r="H374" s="10" t="b">
        <f>IF(ISERROR(VLOOKUP(E374,cuentas_pyme!C:C,1,FALSE)),FALSE,TRUE)</f>
        <v>1</v>
      </c>
      <c r="I374" s="10" t="str">
        <f>VLOOKUP(D374,cuentas_balance!C:I,7,FALSE)</f>
        <v>2.P.2.2.3</v>
      </c>
      <c r="J374" s="11" t="str">
        <f t="shared" si="44"/>
        <v>2.P.2.2.3.528</v>
      </c>
      <c r="K374" s="10" t="str">
        <f t="shared" si="42"/>
        <v>2.P.2.2.3</v>
      </c>
      <c r="L374" s="10" t="str">
        <f t="shared" si="41"/>
        <v>2.P.2.2.3</v>
      </c>
      <c r="M374" s="12" t="s">
        <v>1906</v>
      </c>
      <c r="N374" t="s">
        <v>1581</v>
      </c>
      <c r="O374" t="str">
        <f t="shared" si="43"/>
        <v>2.P</v>
      </c>
    </row>
    <row r="375" spans="3:15" x14ac:dyDescent="0.25">
      <c r="C375" s="9">
        <v>442</v>
      </c>
      <c r="D375" s="16">
        <v>529</v>
      </c>
      <c r="E375" s="10" t="str">
        <f t="shared" si="38"/>
        <v>529</v>
      </c>
      <c r="F375" s="10" t="str">
        <f t="shared" si="39"/>
        <v>52</v>
      </c>
      <c r="G375" s="10">
        <f t="shared" si="36"/>
        <v>1</v>
      </c>
      <c r="H375" s="10" t="b">
        <f>IF(ISERROR(VLOOKUP(E375,cuentas_pyme!C:C,1,FALSE)),FALSE,TRUE)</f>
        <v>1</v>
      </c>
      <c r="I375" s="10" t="str">
        <f>VLOOKUP(D375,cuentas_balance!C:I,7,FALSE)</f>
        <v>2.P.2.1</v>
      </c>
      <c r="J375" s="11" t="str">
        <f t="shared" si="44"/>
        <v>2.P.2.1.529</v>
      </c>
      <c r="K375" s="10" t="str">
        <f t="shared" si="42"/>
        <v>2.P.2.1</v>
      </c>
      <c r="L375" s="10" t="str">
        <f t="shared" si="41"/>
        <v>2.P.2.1</v>
      </c>
      <c r="M375" s="12" t="s">
        <v>1907</v>
      </c>
      <c r="N375" t="s">
        <v>1581</v>
      </c>
      <c r="O375" t="str">
        <f t="shared" si="43"/>
        <v>2.P</v>
      </c>
    </row>
    <row r="376" spans="3:15" x14ac:dyDescent="0.25">
      <c r="C376" s="9">
        <v>444</v>
      </c>
      <c r="D376" s="16">
        <v>5291</v>
      </c>
      <c r="E376" s="10" t="str">
        <f t="shared" si="38"/>
        <v>5291</v>
      </c>
      <c r="F376" s="10" t="str">
        <f t="shared" si="39"/>
        <v>529</v>
      </c>
      <c r="G376" s="10">
        <f t="shared" si="36"/>
        <v>0</v>
      </c>
      <c r="H376" s="10" t="b">
        <f>IF(ISERROR(VLOOKUP(E376,cuentas_pyme!C:C,1,FALSE)),FALSE,TRUE)</f>
        <v>1</v>
      </c>
      <c r="I376" s="10" t="s">
        <v>2858</v>
      </c>
      <c r="J376" s="11" t="s">
        <v>2859</v>
      </c>
      <c r="K376" s="10" t="str">
        <f t="shared" si="42"/>
        <v>2.P.2.1.529</v>
      </c>
      <c r="L376" s="10" t="str">
        <f t="shared" si="41"/>
        <v>2.P.2.1.529</v>
      </c>
      <c r="M376" s="12" t="s">
        <v>1908</v>
      </c>
      <c r="N376" t="s">
        <v>1581</v>
      </c>
      <c r="O376" t="str">
        <f t="shared" si="43"/>
        <v>2.P</v>
      </c>
    </row>
    <row r="377" spans="3:15" x14ac:dyDescent="0.25">
      <c r="C377" s="9">
        <v>445</v>
      </c>
      <c r="D377" s="16">
        <v>5292</v>
      </c>
      <c r="E377" s="10" t="str">
        <f t="shared" ref="E377:E423" si="45">TEXT(D377,0)</f>
        <v>5292</v>
      </c>
      <c r="F377" s="10" t="str">
        <f t="shared" ref="F377:F423" si="46">LEFT(D377,LEN(D377)-1)</f>
        <v>529</v>
      </c>
      <c r="G377" s="10">
        <f t="shared" si="36"/>
        <v>0</v>
      </c>
      <c r="H377" s="10" t="b">
        <f>IF(ISERROR(VLOOKUP(E377,cuentas_pyme!C:C,1,FALSE)),FALSE,TRUE)</f>
        <v>1</v>
      </c>
      <c r="I377" s="10" t="s">
        <v>2858</v>
      </c>
      <c r="J377" s="11" t="s">
        <v>2860</v>
      </c>
      <c r="K377" s="10" t="str">
        <f t="shared" si="42"/>
        <v>2.P.2.1.529</v>
      </c>
      <c r="L377" s="10" t="str">
        <f t="shared" si="41"/>
        <v>2.P.2.1.529</v>
      </c>
      <c r="M377" s="12" t="s">
        <v>1909</v>
      </c>
      <c r="N377" t="s">
        <v>1581</v>
      </c>
      <c r="O377" t="str">
        <f t="shared" si="43"/>
        <v>2.P</v>
      </c>
    </row>
    <row r="378" spans="3:15" x14ac:dyDescent="0.25">
      <c r="C378" s="9">
        <v>446</v>
      </c>
      <c r="D378" s="16">
        <v>5293</v>
      </c>
      <c r="E378" s="10" t="str">
        <f t="shared" si="45"/>
        <v>5293</v>
      </c>
      <c r="F378" s="10" t="str">
        <f t="shared" si="46"/>
        <v>529</v>
      </c>
      <c r="G378" s="10">
        <f t="shared" ref="G378:G441" si="47">IF(IFERROR(VLOOKUP(E378,F:F,1,FALSE),0)&lt;&gt;0,1,0)</f>
        <v>0</v>
      </c>
      <c r="H378" s="10" t="b">
        <f>IF(ISERROR(VLOOKUP(E378,cuentas_pyme!C:C,1,FALSE)),FALSE,TRUE)</f>
        <v>1</v>
      </c>
      <c r="I378" s="10" t="s">
        <v>2858</v>
      </c>
      <c r="J378" s="11" t="s">
        <v>2861</v>
      </c>
      <c r="K378" s="10" t="str">
        <f t="shared" si="42"/>
        <v>2.P.2.1.529</v>
      </c>
      <c r="L378" s="10" t="str">
        <f t="shared" si="41"/>
        <v>2.P.2.1.529</v>
      </c>
      <c r="M378" s="12" t="s">
        <v>1910</v>
      </c>
      <c r="N378" t="s">
        <v>1581</v>
      </c>
      <c r="O378" t="str">
        <f t="shared" si="43"/>
        <v>2.P</v>
      </c>
    </row>
    <row r="379" spans="3:15" x14ac:dyDescent="0.25">
      <c r="C379" s="9">
        <v>447</v>
      </c>
      <c r="D379" s="16">
        <v>5295</v>
      </c>
      <c r="E379" s="10" t="str">
        <f t="shared" si="45"/>
        <v>5295</v>
      </c>
      <c r="F379" s="10" t="str">
        <f t="shared" si="46"/>
        <v>529</v>
      </c>
      <c r="G379" s="10">
        <f t="shared" si="47"/>
        <v>0</v>
      </c>
      <c r="H379" s="10" t="b">
        <f>IF(ISERROR(VLOOKUP(E379,cuentas_pyme!C:C,1,FALSE)),FALSE,TRUE)</f>
        <v>1</v>
      </c>
      <c r="I379" s="10" t="s">
        <v>2858</v>
      </c>
      <c r="J379" s="11" t="s">
        <v>2862</v>
      </c>
      <c r="K379" s="10" t="str">
        <f t="shared" si="42"/>
        <v>2.P.2.1.529</v>
      </c>
      <c r="L379" s="10" t="str">
        <f t="shared" si="41"/>
        <v>2.P.2.1.529</v>
      </c>
      <c r="M379" s="12" t="s">
        <v>1911</v>
      </c>
      <c r="N379" t="s">
        <v>1581</v>
      </c>
      <c r="O379" t="str">
        <f t="shared" si="43"/>
        <v>2.P</v>
      </c>
    </row>
    <row r="380" spans="3:15" x14ac:dyDescent="0.25">
      <c r="C380" s="9">
        <v>452</v>
      </c>
      <c r="D380" s="16">
        <v>5303</v>
      </c>
      <c r="E380" s="10" t="str">
        <f t="shared" si="45"/>
        <v>5303</v>
      </c>
      <c r="F380" s="10" t="str">
        <f t="shared" si="46"/>
        <v>530</v>
      </c>
      <c r="G380" s="10">
        <f t="shared" si="47"/>
        <v>0</v>
      </c>
      <c r="H380" s="10" t="b">
        <f>IF(ISERROR(VLOOKUP(E380,cuentas_pyme!C:C,1,FALSE)),FALSE,TRUE)</f>
        <v>1</v>
      </c>
      <c r="I380" s="10" t="str">
        <f>VLOOKUP(D380,cuentas_balance!C:I,7,FALSE)</f>
        <v>1.A.2.3</v>
      </c>
      <c r="J380" s="11" t="str">
        <f t="shared" si="44"/>
        <v>1.A.2.3.5303</v>
      </c>
      <c r="K380" s="10" t="str">
        <f t="shared" ref="K380:K427" si="48">I380</f>
        <v>1.A.2.3</v>
      </c>
      <c r="L380" s="10" t="str">
        <f t="shared" si="41"/>
        <v>1.A.2.3</v>
      </c>
      <c r="M380" s="12" t="s">
        <v>1912</v>
      </c>
      <c r="N380" t="s">
        <v>1578</v>
      </c>
      <c r="O380" t="str">
        <f t="shared" si="43"/>
        <v>1.A</v>
      </c>
    </row>
    <row r="381" spans="3:15" x14ac:dyDescent="0.25">
      <c r="C381" s="9">
        <v>453</v>
      </c>
      <c r="D381" s="16">
        <v>5304</v>
      </c>
      <c r="E381" s="10" t="str">
        <f t="shared" si="45"/>
        <v>5304</v>
      </c>
      <c r="F381" s="10" t="str">
        <f t="shared" si="46"/>
        <v>530</v>
      </c>
      <c r="G381" s="10">
        <f t="shared" si="47"/>
        <v>0</v>
      </c>
      <c r="H381" s="10" t="b">
        <f>IF(ISERROR(VLOOKUP(E381,cuentas_pyme!C:C,1,FALSE)),FALSE,TRUE)</f>
        <v>1</v>
      </c>
      <c r="I381" s="10" t="str">
        <f>VLOOKUP(D381,cuentas_balance!C:I,7,FALSE)</f>
        <v>1.A.2.3</v>
      </c>
      <c r="J381" s="11" t="str">
        <f t="shared" si="44"/>
        <v>1.A.2.3.5304</v>
      </c>
      <c r="K381" s="10" t="str">
        <f t="shared" si="48"/>
        <v>1.A.2.3</v>
      </c>
      <c r="L381" s="10" t="str">
        <f t="shared" si="41"/>
        <v>1.A.2.3</v>
      </c>
      <c r="M381" s="12" t="s">
        <v>1913</v>
      </c>
      <c r="N381" t="s">
        <v>1578</v>
      </c>
      <c r="O381" t="str">
        <f t="shared" si="43"/>
        <v>1.A</v>
      </c>
    </row>
    <row r="382" spans="3:15" x14ac:dyDescent="0.25">
      <c r="C382" s="9">
        <v>454</v>
      </c>
      <c r="D382" s="16">
        <v>5305</v>
      </c>
      <c r="E382" s="10" t="str">
        <f t="shared" si="45"/>
        <v>5305</v>
      </c>
      <c r="F382" s="10" t="str">
        <f t="shared" si="46"/>
        <v>530</v>
      </c>
      <c r="G382" s="10">
        <f t="shared" si="47"/>
        <v>0</v>
      </c>
      <c r="H382" s="10" t="b">
        <f>IF(ISERROR(VLOOKUP(E382,cuentas_pyme!C:C,1,FALSE)),FALSE,TRUE)</f>
        <v>1</v>
      </c>
      <c r="I382" s="10" t="str">
        <f>VLOOKUP(D382,cuentas_balance!C:I,7,FALSE)</f>
        <v>1.A.2.4</v>
      </c>
      <c r="J382" s="11" t="str">
        <f t="shared" si="44"/>
        <v>1.A.2.4.5305</v>
      </c>
      <c r="K382" s="10" t="str">
        <f t="shared" si="48"/>
        <v>1.A.2.4</v>
      </c>
      <c r="L382" s="10" t="str">
        <f t="shared" si="41"/>
        <v>1.A.2.4</v>
      </c>
      <c r="M382" s="12" t="s">
        <v>1914</v>
      </c>
      <c r="N382" t="s">
        <v>1578</v>
      </c>
      <c r="O382" t="str">
        <f t="shared" si="43"/>
        <v>1.A</v>
      </c>
    </row>
    <row r="383" spans="3:15" x14ac:dyDescent="0.25">
      <c r="C383" s="9">
        <v>456</v>
      </c>
      <c r="D383" s="16">
        <v>5313</v>
      </c>
      <c r="E383" s="10" t="str">
        <f t="shared" si="45"/>
        <v>5313</v>
      </c>
      <c r="F383" s="10" t="str">
        <f t="shared" si="46"/>
        <v>531</v>
      </c>
      <c r="G383" s="10">
        <f t="shared" si="47"/>
        <v>0</v>
      </c>
      <c r="H383" s="10" t="b">
        <f>IF(ISERROR(VLOOKUP(E383,cuentas_pyme!C:C,1,FALSE)),FALSE,TRUE)</f>
        <v>1</v>
      </c>
      <c r="I383" s="10" t="str">
        <f>VLOOKUP(D383,cuentas_balance!C:I,7,FALSE)</f>
        <v>1.A.2.3</v>
      </c>
      <c r="J383" s="11" t="str">
        <f t="shared" si="44"/>
        <v>1.A.2.3.5313</v>
      </c>
      <c r="K383" s="10" t="str">
        <f t="shared" si="48"/>
        <v>1.A.2.3</v>
      </c>
      <c r="L383" s="10" t="str">
        <f t="shared" si="41"/>
        <v>1.A.2.3</v>
      </c>
      <c r="M383" s="12" t="s">
        <v>1915</v>
      </c>
      <c r="N383" t="s">
        <v>1578</v>
      </c>
      <c r="O383" t="str">
        <f t="shared" si="43"/>
        <v>1.A</v>
      </c>
    </row>
    <row r="384" spans="3:15" x14ac:dyDescent="0.25">
      <c r="C384" s="9">
        <v>457</v>
      </c>
      <c r="D384" s="16">
        <v>5314</v>
      </c>
      <c r="E384" s="10" t="str">
        <f t="shared" si="45"/>
        <v>5314</v>
      </c>
      <c r="F384" s="10" t="str">
        <f t="shared" si="46"/>
        <v>531</v>
      </c>
      <c r="G384" s="10">
        <f t="shared" si="47"/>
        <v>0</v>
      </c>
      <c r="H384" s="10" t="b">
        <f>IF(ISERROR(VLOOKUP(E384,cuentas_pyme!C:C,1,FALSE)),FALSE,TRUE)</f>
        <v>1</v>
      </c>
      <c r="I384" s="10" t="str">
        <f>VLOOKUP(D384,cuentas_balance!C:I,7,FALSE)</f>
        <v>1.A.2.3</v>
      </c>
      <c r="J384" s="11" t="str">
        <f t="shared" si="44"/>
        <v>1.A.2.3.5314</v>
      </c>
      <c r="K384" s="10" t="str">
        <f t="shared" si="48"/>
        <v>1.A.2.3</v>
      </c>
      <c r="L384" s="10" t="str">
        <f t="shared" si="41"/>
        <v>1.A.2.3</v>
      </c>
      <c r="M384" s="12" t="s">
        <v>1916</v>
      </c>
      <c r="N384" t="s">
        <v>1578</v>
      </c>
      <c r="O384" t="str">
        <f t="shared" si="43"/>
        <v>1.A</v>
      </c>
    </row>
    <row r="385" spans="3:15" x14ac:dyDescent="0.25">
      <c r="C385" s="9">
        <v>458</v>
      </c>
      <c r="D385" s="16">
        <v>5315</v>
      </c>
      <c r="E385" s="10" t="str">
        <f t="shared" si="45"/>
        <v>5315</v>
      </c>
      <c r="F385" s="10" t="str">
        <f t="shared" si="46"/>
        <v>531</v>
      </c>
      <c r="G385" s="10">
        <f t="shared" si="47"/>
        <v>0</v>
      </c>
      <c r="H385" s="10" t="b">
        <f>IF(ISERROR(VLOOKUP(E385,cuentas_pyme!C:C,1,FALSE)),FALSE,TRUE)</f>
        <v>1</v>
      </c>
      <c r="I385" s="10" t="str">
        <f>VLOOKUP(D385,cuentas_balance!C:I,7,FALSE)</f>
        <v>1.A.2.4</v>
      </c>
      <c r="J385" s="11" t="str">
        <f t="shared" si="44"/>
        <v>1.A.2.4.5315</v>
      </c>
      <c r="K385" s="10" t="str">
        <f t="shared" si="48"/>
        <v>1.A.2.4</v>
      </c>
      <c r="L385" s="10" t="str">
        <f t="shared" si="41"/>
        <v>1.A.2.4</v>
      </c>
      <c r="M385" s="12" t="s">
        <v>1917</v>
      </c>
      <c r="N385" t="s">
        <v>1578</v>
      </c>
      <c r="O385" t="str">
        <f t="shared" si="43"/>
        <v>1.A</v>
      </c>
    </row>
    <row r="386" spans="3:15" x14ac:dyDescent="0.25">
      <c r="C386" s="9">
        <v>460</v>
      </c>
      <c r="D386" s="16">
        <v>5323</v>
      </c>
      <c r="E386" s="10" t="str">
        <f t="shared" si="45"/>
        <v>5323</v>
      </c>
      <c r="F386" s="10" t="str">
        <f t="shared" si="46"/>
        <v>532</v>
      </c>
      <c r="G386" s="10">
        <f t="shared" si="47"/>
        <v>0</v>
      </c>
      <c r="H386" s="10" t="b">
        <f>IF(ISERROR(VLOOKUP(E386,cuentas_pyme!C:C,1,FALSE)),FALSE,TRUE)</f>
        <v>1</v>
      </c>
      <c r="I386" s="10" t="str">
        <f>VLOOKUP(D386,cuentas_balance!C:I,7,FALSE)</f>
        <v>1.A.2.3</v>
      </c>
      <c r="J386" s="11" t="str">
        <f t="shared" si="44"/>
        <v>1.A.2.3.5323</v>
      </c>
      <c r="K386" s="10" t="str">
        <f t="shared" si="48"/>
        <v>1.A.2.3</v>
      </c>
      <c r="L386" s="10" t="str">
        <f t="shared" si="41"/>
        <v>1.A.2.3</v>
      </c>
      <c r="M386" s="12" t="s">
        <v>1918</v>
      </c>
      <c r="N386" t="s">
        <v>1578</v>
      </c>
      <c r="O386" t="str">
        <f t="shared" si="43"/>
        <v>1.A</v>
      </c>
    </row>
    <row r="387" spans="3:15" x14ac:dyDescent="0.25">
      <c r="C387" s="9">
        <v>461</v>
      </c>
      <c r="D387" s="16">
        <v>5324</v>
      </c>
      <c r="E387" s="10" t="str">
        <f t="shared" si="45"/>
        <v>5324</v>
      </c>
      <c r="F387" s="10" t="str">
        <f t="shared" si="46"/>
        <v>532</v>
      </c>
      <c r="G387" s="10">
        <f t="shared" si="47"/>
        <v>0</v>
      </c>
      <c r="H387" s="10" t="b">
        <f>IF(ISERROR(VLOOKUP(E387,cuentas_pyme!C:C,1,FALSE)),FALSE,TRUE)</f>
        <v>1</v>
      </c>
      <c r="I387" s="10" t="str">
        <f>VLOOKUP(D387,cuentas_balance!C:I,7,FALSE)</f>
        <v>1.A.2.3</v>
      </c>
      <c r="J387" s="11" t="str">
        <f t="shared" si="44"/>
        <v>1.A.2.3.5324</v>
      </c>
      <c r="K387" s="10" t="str">
        <f t="shared" si="48"/>
        <v>1.A.2.3</v>
      </c>
      <c r="L387" s="10" t="str">
        <f t="shared" si="41"/>
        <v>1.A.2.3</v>
      </c>
      <c r="M387" s="12" t="s">
        <v>1919</v>
      </c>
      <c r="N387" t="s">
        <v>1578</v>
      </c>
      <c r="O387" t="str">
        <f t="shared" si="43"/>
        <v>1.A</v>
      </c>
    </row>
    <row r="388" spans="3:15" x14ac:dyDescent="0.25">
      <c r="C388" s="9">
        <v>462</v>
      </c>
      <c r="D388" s="16">
        <v>5325</v>
      </c>
      <c r="E388" s="10" t="str">
        <f t="shared" si="45"/>
        <v>5325</v>
      </c>
      <c r="F388" s="10" t="str">
        <f t="shared" si="46"/>
        <v>532</v>
      </c>
      <c r="G388" s="10">
        <f t="shared" si="47"/>
        <v>0</v>
      </c>
      <c r="H388" s="10" t="b">
        <f>IF(ISERROR(VLOOKUP(E388,cuentas_pyme!C:C,1,FALSE)),FALSE,TRUE)</f>
        <v>1</v>
      </c>
      <c r="I388" s="10" t="str">
        <f>VLOOKUP(D388,cuentas_balance!C:I,7,FALSE)</f>
        <v>1.A.2.4</v>
      </c>
      <c r="J388" s="11" t="str">
        <f t="shared" si="44"/>
        <v>1.A.2.4.5325</v>
      </c>
      <c r="K388" s="10" t="str">
        <f t="shared" si="48"/>
        <v>1.A.2.4</v>
      </c>
      <c r="L388" s="10" t="str">
        <f t="shared" si="41"/>
        <v>1.A.2.4</v>
      </c>
      <c r="M388" s="12" t="s">
        <v>1920</v>
      </c>
      <c r="N388" t="s">
        <v>1578</v>
      </c>
      <c r="O388" t="str">
        <f t="shared" si="43"/>
        <v>1.A</v>
      </c>
    </row>
    <row r="389" spans="3:15" x14ac:dyDescent="0.25">
      <c r="C389" s="9">
        <v>464</v>
      </c>
      <c r="D389" s="16">
        <v>5333</v>
      </c>
      <c r="E389" s="10" t="str">
        <f t="shared" si="45"/>
        <v>5333</v>
      </c>
      <c r="F389" s="10" t="str">
        <f t="shared" si="46"/>
        <v>533</v>
      </c>
      <c r="G389" s="10">
        <f t="shared" si="47"/>
        <v>0</v>
      </c>
      <c r="H389" s="10" t="b">
        <f>IF(ISERROR(VLOOKUP(E389,cuentas_pyme!C:C,1,FALSE)),FALSE,TRUE)</f>
        <v>1</v>
      </c>
      <c r="I389" s="10" t="str">
        <f>VLOOKUP(D389,cuentas_balance!C:I,7,FALSE)</f>
        <v>1.A.2.3</v>
      </c>
      <c r="J389" s="11" t="str">
        <f t="shared" si="44"/>
        <v>1.A.2.3.5333</v>
      </c>
      <c r="K389" s="10" t="str">
        <f t="shared" si="48"/>
        <v>1.A.2.3</v>
      </c>
      <c r="L389" s="10" t="str">
        <f t="shared" si="41"/>
        <v>1.A.2.3</v>
      </c>
      <c r="M389" s="12" t="s">
        <v>1921</v>
      </c>
      <c r="N389" t="s">
        <v>1578</v>
      </c>
      <c r="O389" t="str">
        <f t="shared" si="43"/>
        <v>1.A</v>
      </c>
    </row>
    <row r="390" spans="3:15" x14ac:dyDescent="0.25">
      <c r="C390" s="9">
        <v>465</v>
      </c>
      <c r="D390" s="16">
        <v>5334</v>
      </c>
      <c r="E390" s="10" t="str">
        <f t="shared" si="45"/>
        <v>5334</v>
      </c>
      <c r="F390" s="10" t="str">
        <f t="shared" si="46"/>
        <v>533</v>
      </c>
      <c r="G390" s="10">
        <f t="shared" si="47"/>
        <v>0</v>
      </c>
      <c r="H390" s="10" t="b">
        <f>IF(ISERROR(VLOOKUP(E390,cuentas_pyme!C:C,1,FALSE)),FALSE,TRUE)</f>
        <v>1</v>
      </c>
      <c r="I390" s="10" t="str">
        <f>VLOOKUP(D390,cuentas_balance!C:I,7,FALSE)</f>
        <v>1.A.2.3</v>
      </c>
      <c r="J390" s="11" t="str">
        <f t="shared" si="44"/>
        <v>1.A.2.3.5334</v>
      </c>
      <c r="K390" s="10" t="str">
        <f t="shared" si="48"/>
        <v>1.A.2.3</v>
      </c>
      <c r="L390" s="10" t="str">
        <f t="shared" si="41"/>
        <v>1.A.2.3</v>
      </c>
      <c r="M390" s="12" t="s">
        <v>1922</v>
      </c>
      <c r="N390" t="s">
        <v>1578</v>
      </c>
      <c r="O390" t="str">
        <f t="shared" si="43"/>
        <v>1.A</v>
      </c>
    </row>
    <row r="391" spans="3:15" x14ac:dyDescent="0.25">
      <c r="C391" s="9">
        <v>466</v>
      </c>
      <c r="D391" s="16">
        <v>5335</v>
      </c>
      <c r="E391" s="10" t="str">
        <f t="shared" si="45"/>
        <v>5335</v>
      </c>
      <c r="F391" s="10" t="str">
        <f t="shared" si="46"/>
        <v>533</v>
      </c>
      <c r="G391" s="10">
        <f t="shared" si="47"/>
        <v>0</v>
      </c>
      <c r="H391" s="10" t="b">
        <f>IF(ISERROR(VLOOKUP(E391,cuentas_pyme!C:C,1,FALSE)),FALSE,TRUE)</f>
        <v>1</v>
      </c>
      <c r="I391" s="10" t="str">
        <f>VLOOKUP(D391,cuentas_balance!C:I,7,FALSE)</f>
        <v>1.A.2.4</v>
      </c>
      <c r="J391" s="11" t="str">
        <f t="shared" si="44"/>
        <v>1.A.2.4.5335</v>
      </c>
      <c r="K391" s="10" t="str">
        <f t="shared" si="48"/>
        <v>1.A.2.4</v>
      </c>
      <c r="L391" s="10" t="str">
        <f t="shared" si="41"/>
        <v>1.A.2.4</v>
      </c>
      <c r="M391" s="12" t="s">
        <v>1923</v>
      </c>
      <c r="N391" t="s">
        <v>1578</v>
      </c>
      <c r="O391" t="str">
        <f t="shared" ref="O391:O422" si="49">IFERROR(VLOOKUP(N391,$Q$4:$R$9,2,FALSE),"")</f>
        <v>1.A</v>
      </c>
    </row>
    <row r="392" spans="3:15" x14ac:dyDescent="0.25">
      <c r="C392" s="9">
        <v>468</v>
      </c>
      <c r="D392" s="16">
        <v>5343</v>
      </c>
      <c r="E392" s="10" t="str">
        <f t="shared" si="45"/>
        <v>5343</v>
      </c>
      <c r="F392" s="10" t="str">
        <f t="shared" si="46"/>
        <v>534</v>
      </c>
      <c r="G392" s="10">
        <f t="shared" si="47"/>
        <v>0</v>
      </c>
      <c r="H392" s="10" t="b">
        <f>IF(ISERROR(VLOOKUP(E392,cuentas_pyme!C:C,1,FALSE)),FALSE,TRUE)</f>
        <v>1</v>
      </c>
      <c r="I392" s="10" t="str">
        <f>VLOOKUP(D392,cuentas_balance!C:I,7,FALSE)</f>
        <v>1.A.2.3</v>
      </c>
      <c r="J392" s="11" t="str">
        <f t="shared" si="44"/>
        <v>1.A.2.3.5343</v>
      </c>
      <c r="K392" s="10" t="str">
        <f t="shared" si="48"/>
        <v>1.A.2.3</v>
      </c>
      <c r="L392" s="10" t="str">
        <f t="shared" si="41"/>
        <v>1.A.2.3</v>
      </c>
      <c r="M392" s="12" t="s">
        <v>1924</v>
      </c>
      <c r="N392" t="s">
        <v>1578</v>
      </c>
      <c r="O392" t="str">
        <f t="shared" si="49"/>
        <v>1.A</v>
      </c>
    </row>
    <row r="393" spans="3:15" x14ac:dyDescent="0.25">
      <c r="C393" s="9">
        <v>469</v>
      </c>
      <c r="D393" s="16">
        <v>5344</v>
      </c>
      <c r="E393" s="10" t="str">
        <f t="shared" si="45"/>
        <v>5344</v>
      </c>
      <c r="F393" s="10" t="str">
        <f t="shared" si="46"/>
        <v>534</v>
      </c>
      <c r="G393" s="10">
        <f t="shared" si="47"/>
        <v>0</v>
      </c>
      <c r="H393" s="10" t="b">
        <f>IF(ISERROR(VLOOKUP(E393,cuentas_pyme!C:C,1,FALSE)),FALSE,TRUE)</f>
        <v>1</v>
      </c>
      <c r="I393" s="10" t="str">
        <f>VLOOKUP(D393,cuentas_balance!C:I,7,FALSE)</f>
        <v>1.A.2.3</v>
      </c>
      <c r="J393" s="11" t="str">
        <f t="shared" si="44"/>
        <v>1.A.2.3.5344</v>
      </c>
      <c r="K393" s="10" t="str">
        <f t="shared" si="48"/>
        <v>1.A.2.3</v>
      </c>
      <c r="L393" s="10" t="str">
        <f t="shared" ref="L393:L456" si="50">VLOOKUP(K393,J:J,1,FALSE)</f>
        <v>1.A.2.3</v>
      </c>
      <c r="M393" s="12" t="s">
        <v>1925</v>
      </c>
      <c r="N393" t="s">
        <v>1578</v>
      </c>
      <c r="O393" t="str">
        <f t="shared" si="49"/>
        <v>1.A</v>
      </c>
    </row>
    <row r="394" spans="3:15" x14ac:dyDescent="0.25">
      <c r="C394" s="9">
        <v>470</v>
      </c>
      <c r="D394" s="16">
        <v>5345</v>
      </c>
      <c r="E394" s="10" t="str">
        <f t="shared" si="45"/>
        <v>5345</v>
      </c>
      <c r="F394" s="10" t="str">
        <f t="shared" si="46"/>
        <v>534</v>
      </c>
      <c r="G394" s="10">
        <f t="shared" si="47"/>
        <v>0</v>
      </c>
      <c r="H394" s="10" t="b">
        <f>IF(ISERROR(VLOOKUP(E394,cuentas_pyme!C:C,1,FALSE)),FALSE,TRUE)</f>
        <v>1</v>
      </c>
      <c r="I394" s="10" t="str">
        <f>VLOOKUP(D394,cuentas_balance!C:I,7,FALSE)</f>
        <v>1.A.2.4</v>
      </c>
      <c r="J394" s="11" t="str">
        <f t="shared" si="44"/>
        <v>1.A.2.4.5345</v>
      </c>
      <c r="K394" s="10" t="str">
        <f t="shared" si="48"/>
        <v>1.A.2.4</v>
      </c>
      <c r="L394" s="10" t="str">
        <f t="shared" si="50"/>
        <v>1.A.2.4</v>
      </c>
      <c r="M394" s="12" t="s">
        <v>1926</v>
      </c>
      <c r="N394" t="s">
        <v>1578</v>
      </c>
      <c r="O394" t="str">
        <f t="shared" si="49"/>
        <v>1.A</v>
      </c>
    </row>
    <row r="395" spans="3:15" x14ac:dyDescent="0.25">
      <c r="C395" s="9">
        <v>472</v>
      </c>
      <c r="D395" s="16">
        <v>5353</v>
      </c>
      <c r="E395" s="10" t="str">
        <f t="shared" si="45"/>
        <v>5353</v>
      </c>
      <c r="F395" s="10" t="str">
        <f t="shared" si="46"/>
        <v>535</v>
      </c>
      <c r="G395" s="10">
        <f t="shared" si="47"/>
        <v>0</v>
      </c>
      <c r="H395" s="10" t="b">
        <f>IF(ISERROR(VLOOKUP(E395,cuentas_pyme!C:C,1,FALSE)),FALSE,TRUE)</f>
        <v>1</v>
      </c>
      <c r="I395" s="10" t="str">
        <f>VLOOKUP(D395,cuentas_balance!C:I,7,FALSE)</f>
        <v>1.A.2.3</v>
      </c>
      <c r="J395" s="11" t="str">
        <f t="shared" si="44"/>
        <v>1.A.2.3.5353</v>
      </c>
      <c r="K395" s="10" t="str">
        <f t="shared" si="48"/>
        <v>1.A.2.3</v>
      </c>
      <c r="L395" s="10" t="str">
        <f t="shared" si="50"/>
        <v>1.A.2.3</v>
      </c>
      <c r="M395" s="12" t="s">
        <v>1927</v>
      </c>
      <c r="N395" t="s">
        <v>1578</v>
      </c>
      <c r="O395" t="str">
        <f t="shared" si="49"/>
        <v>1.A</v>
      </c>
    </row>
    <row r="396" spans="3:15" x14ac:dyDescent="0.25">
      <c r="C396" s="9">
        <v>473</v>
      </c>
      <c r="D396" s="16">
        <v>5354</v>
      </c>
      <c r="E396" s="10" t="str">
        <f t="shared" si="45"/>
        <v>5354</v>
      </c>
      <c r="F396" s="10" t="str">
        <f t="shared" si="46"/>
        <v>535</v>
      </c>
      <c r="G396" s="10">
        <f t="shared" si="47"/>
        <v>0</v>
      </c>
      <c r="H396" s="10" t="b">
        <f>IF(ISERROR(VLOOKUP(E396,cuentas_pyme!C:C,1,FALSE)),FALSE,TRUE)</f>
        <v>1</v>
      </c>
      <c r="I396" s="10" t="str">
        <f>VLOOKUP(D396,cuentas_balance!C:I,7,FALSE)</f>
        <v>1.A.2.3</v>
      </c>
      <c r="J396" s="11" t="str">
        <f t="shared" si="44"/>
        <v>1.A.2.3.5354</v>
      </c>
      <c r="K396" s="10" t="str">
        <f t="shared" si="48"/>
        <v>1.A.2.3</v>
      </c>
      <c r="L396" s="10" t="str">
        <f t="shared" si="50"/>
        <v>1.A.2.3</v>
      </c>
      <c r="M396" s="12" t="s">
        <v>1928</v>
      </c>
      <c r="N396" t="s">
        <v>1578</v>
      </c>
      <c r="O396" t="str">
        <f t="shared" si="49"/>
        <v>1.A</v>
      </c>
    </row>
    <row r="397" spans="3:15" x14ac:dyDescent="0.25">
      <c r="C397" s="9">
        <v>474</v>
      </c>
      <c r="D397" s="16">
        <v>5355</v>
      </c>
      <c r="E397" s="10" t="str">
        <f t="shared" si="45"/>
        <v>5355</v>
      </c>
      <c r="F397" s="10" t="str">
        <f t="shared" si="46"/>
        <v>535</v>
      </c>
      <c r="G397" s="10">
        <f t="shared" si="47"/>
        <v>0</v>
      </c>
      <c r="H397" s="10" t="b">
        <f>IF(ISERROR(VLOOKUP(E397,cuentas_pyme!C:C,1,FALSE)),FALSE,TRUE)</f>
        <v>1</v>
      </c>
      <c r="I397" s="10" t="str">
        <f>VLOOKUP(D397,cuentas_balance!C:I,7,FALSE)</f>
        <v>1.A.2.4</v>
      </c>
      <c r="J397" s="11" t="str">
        <f t="shared" si="44"/>
        <v>1.A.2.4.5355</v>
      </c>
      <c r="K397" s="10" t="str">
        <f t="shared" si="48"/>
        <v>1.A.2.4</v>
      </c>
      <c r="L397" s="10" t="str">
        <f t="shared" si="50"/>
        <v>1.A.2.4</v>
      </c>
      <c r="M397" s="12" t="s">
        <v>1929</v>
      </c>
      <c r="N397" t="s">
        <v>1578</v>
      </c>
      <c r="O397" t="str">
        <f t="shared" si="49"/>
        <v>1.A</v>
      </c>
    </row>
    <row r="398" spans="3:15" x14ac:dyDescent="0.25">
      <c r="C398" s="9">
        <v>476</v>
      </c>
      <c r="D398" s="16">
        <v>5393</v>
      </c>
      <c r="E398" s="10" t="str">
        <f t="shared" si="45"/>
        <v>5393</v>
      </c>
      <c r="F398" s="10" t="str">
        <f t="shared" si="46"/>
        <v>539</v>
      </c>
      <c r="G398" s="10">
        <f t="shared" si="47"/>
        <v>0</v>
      </c>
      <c r="H398" s="10" t="b">
        <f>IF(ISERROR(VLOOKUP(E398,cuentas_pyme!C:C,1,FALSE)),FALSE,TRUE)</f>
        <v>1</v>
      </c>
      <c r="I398" s="10" t="str">
        <f>VLOOKUP(D398,cuentas_balance!C:I,7,FALSE)</f>
        <v>1.A.2.3</v>
      </c>
      <c r="J398" s="11" t="str">
        <f t="shared" si="44"/>
        <v>1.A.2.3.5393</v>
      </c>
      <c r="K398" s="10" t="str">
        <f t="shared" si="48"/>
        <v>1.A.2.3</v>
      </c>
      <c r="L398" s="10" t="str">
        <f t="shared" si="50"/>
        <v>1.A.2.3</v>
      </c>
      <c r="M398" s="12" t="s">
        <v>1930</v>
      </c>
      <c r="N398" t="s">
        <v>1578</v>
      </c>
      <c r="O398" t="str">
        <f t="shared" si="49"/>
        <v>1.A</v>
      </c>
    </row>
    <row r="399" spans="3:15" x14ac:dyDescent="0.25">
      <c r="C399" s="9">
        <v>477</v>
      </c>
      <c r="D399" s="16">
        <v>5394</v>
      </c>
      <c r="E399" s="10" t="str">
        <f t="shared" si="45"/>
        <v>5394</v>
      </c>
      <c r="F399" s="10" t="str">
        <f t="shared" si="46"/>
        <v>539</v>
      </c>
      <c r="G399" s="10">
        <f t="shared" si="47"/>
        <v>0</v>
      </c>
      <c r="H399" s="10" t="b">
        <f>IF(ISERROR(VLOOKUP(E399,cuentas_pyme!C:C,1,FALSE)),FALSE,TRUE)</f>
        <v>1</v>
      </c>
      <c r="I399" s="10" t="str">
        <f>VLOOKUP(D399,cuentas_balance!C:I,7,FALSE)</f>
        <v>1.A.2.3</v>
      </c>
      <c r="J399" s="11" t="str">
        <f t="shared" si="44"/>
        <v>1.A.2.3.5394</v>
      </c>
      <c r="K399" s="10" t="str">
        <f t="shared" si="48"/>
        <v>1.A.2.3</v>
      </c>
      <c r="L399" s="10" t="str">
        <f t="shared" si="50"/>
        <v>1.A.2.3</v>
      </c>
      <c r="M399" s="12" t="s">
        <v>1931</v>
      </c>
      <c r="N399" t="s">
        <v>1578</v>
      </c>
      <c r="O399" t="str">
        <f t="shared" si="49"/>
        <v>1.A</v>
      </c>
    </row>
    <row r="400" spans="3:15" x14ac:dyDescent="0.25">
      <c r="C400" s="9">
        <v>478</v>
      </c>
      <c r="D400" s="16">
        <v>5395</v>
      </c>
      <c r="E400" s="10" t="str">
        <f t="shared" si="45"/>
        <v>5395</v>
      </c>
      <c r="F400" s="10" t="str">
        <f t="shared" si="46"/>
        <v>539</v>
      </c>
      <c r="G400" s="10">
        <f t="shared" si="47"/>
        <v>0</v>
      </c>
      <c r="H400" s="10" t="b">
        <f>IF(ISERROR(VLOOKUP(E400,cuentas_pyme!C:C,1,FALSE)),FALSE,TRUE)</f>
        <v>1</v>
      </c>
      <c r="I400" s="10" t="str">
        <f>VLOOKUP(D400,cuentas_balance!C:I,7,FALSE)</f>
        <v>1.A.2.4</v>
      </c>
      <c r="J400" s="11" t="str">
        <f t="shared" si="44"/>
        <v>1.A.2.4.5395</v>
      </c>
      <c r="K400" s="10" t="str">
        <f t="shared" si="48"/>
        <v>1.A.2.4</v>
      </c>
      <c r="L400" s="10" t="str">
        <f t="shared" si="50"/>
        <v>1.A.2.4</v>
      </c>
      <c r="M400" s="12" t="s">
        <v>1932</v>
      </c>
      <c r="N400" t="s">
        <v>1578</v>
      </c>
      <c r="O400" t="str">
        <f t="shared" si="49"/>
        <v>1.A</v>
      </c>
    </row>
    <row r="401" spans="3:15" x14ac:dyDescent="0.25">
      <c r="C401" s="9">
        <v>480</v>
      </c>
      <c r="D401" s="16">
        <v>540</v>
      </c>
      <c r="E401" s="10" t="str">
        <f t="shared" si="45"/>
        <v>540</v>
      </c>
      <c r="F401" s="10" t="str">
        <f t="shared" si="46"/>
        <v>54</v>
      </c>
      <c r="G401" s="10">
        <f t="shared" si="47"/>
        <v>0</v>
      </c>
      <c r="H401" s="10" t="b">
        <f>IF(ISERROR(VLOOKUP(E401,cuentas_pyme!C:C,1,FALSE)),FALSE,TRUE)</f>
        <v>1</v>
      </c>
      <c r="I401" s="10" t="str">
        <f>VLOOKUP(D401,cuentas_balance!C:I,7,FALSE)</f>
        <v>1.A.2.4</v>
      </c>
      <c r="J401" s="11" t="str">
        <f t="shared" si="44"/>
        <v>1.A.2.4.540</v>
      </c>
      <c r="K401" s="10" t="str">
        <f t="shared" si="48"/>
        <v>1.A.2.4</v>
      </c>
      <c r="L401" s="10" t="str">
        <f t="shared" si="50"/>
        <v>1.A.2.4</v>
      </c>
      <c r="M401" s="12" t="s">
        <v>1933</v>
      </c>
      <c r="N401" t="s">
        <v>1578</v>
      </c>
      <c r="O401" t="str">
        <f t="shared" si="49"/>
        <v>1.A</v>
      </c>
    </row>
    <row r="402" spans="3:15" x14ac:dyDescent="0.25">
      <c r="C402" s="9">
        <v>481</v>
      </c>
      <c r="D402" s="16">
        <v>541</v>
      </c>
      <c r="E402" s="10" t="str">
        <f t="shared" si="45"/>
        <v>541</v>
      </c>
      <c r="F402" s="10" t="str">
        <f t="shared" si="46"/>
        <v>54</v>
      </c>
      <c r="G402" s="10">
        <f t="shared" si="47"/>
        <v>0</v>
      </c>
      <c r="H402" s="10" t="b">
        <f>IF(ISERROR(VLOOKUP(E402,cuentas_pyme!C:C,1,FALSE)),FALSE,TRUE)</f>
        <v>1</v>
      </c>
      <c r="I402" s="10" t="str">
        <f>VLOOKUP(D402,cuentas_balance!C:I,7,FALSE)</f>
        <v>1.A.2.4</v>
      </c>
      <c r="J402" s="11" t="str">
        <f t="shared" si="44"/>
        <v>1.A.2.4.541</v>
      </c>
      <c r="K402" s="10" t="str">
        <f t="shared" si="48"/>
        <v>1.A.2.4</v>
      </c>
      <c r="L402" s="10" t="str">
        <f t="shared" si="50"/>
        <v>1.A.2.4</v>
      </c>
      <c r="M402" s="12" t="s">
        <v>1934</v>
      </c>
      <c r="N402" t="s">
        <v>1578</v>
      </c>
      <c r="O402" t="str">
        <f t="shared" si="49"/>
        <v>1.A</v>
      </c>
    </row>
    <row r="403" spans="3:15" x14ac:dyDescent="0.25">
      <c r="C403" s="9">
        <v>482</v>
      </c>
      <c r="D403" s="16">
        <v>542</v>
      </c>
      <c r="E403" s="10" t="str">
        <f t="shared" si="45"/>
        <v>542</v>
      </c>
      <c r="F403" s="10" t="str">
        <f t="shared" si="46"/>
        <v>54</v>
      </c>
      <c r="G403" s="10">
        <f t="shared" si="47"/>
        <v>0</v>
      </c>
      <c r="H403" s="10" t="b">
        <f>IF(ISERROR(VLOOKUP(E403,cuentas_pyme!C:C,1,FALSE)),FALSE,TRUE)</f>
        <v>1</v>
      </c>
      <c r="I403" s="10" t="str">
        <f>VLOOKUP(D403,cuentas_balance!C:I,7,FALSE)</f>
        <v>1.A.2.4</v>
      </c>
      <c r="J403" s="11" t="str">
        <f t="shared" si="44"/>
        <v>1.A.2.4.542</v>
      </c>
      <c r="K403" s="10" t="str">
        <f t="shared" si="48"/>
        <v>1.A.2.4</v>
      </c>
      <c r="L403" s="10" t="str">
        <f t="shared" si="50"/>
        <v>1.A.2.4</v>
      </c>
      <c r="M403" s="12" t="s">
        <v>1935</v>
      </c>
      <c r="N403" t="s">
        <v>1578</v>
      </c>
      <c r="O403" t="str">
        <f t="shared" si="49"/>
        <v>1.A</v>
      </c>
    </row>
    <row r="404" spans="3:15" x14ac:dyDescent="0.25">
      <c r="C404" s="9">
        <v>483</v>
      </c>
      <c r="D404" s="16">
        <v>543</v>
      </c>
      <c r="E404" s="10" t="str">
        <f t="shared" si="45"/>
        <v>543</v>
      </c>
      <c r="F404" s="10" t="str">
        <f t="shared" si="46"/>
        <v>54</v>
      </c>
      <c r="G404" s="10">
        <f t="shared" si="47"/>
        <v>0</v>
      </c>
      <c r="H404" s="10" t="b">
        <f>IF(ISERROR(VLOOKUP(E404,cuentas_pyme!C:C,1,FALSE)),FALSE,TRUE)</f>
        <v>1</v>
      </c>
      <c r="I404" s="10" t="str">
        <f>VLOOKUP(D404,cuentas_balance!C:I,7,FALSE)</f>
        <v>1.A.2.4</v>
      </c>
      <c r="J404" s="11" t="str">
        <f t="shared" si="44"/>
        <v>1.A.2.4.543</v>
      </c>
      <c r="K404" s="10" t="str">
        <f t="shared" si="48"/>
        <v>1.A.2.4</v>
      </c>
      <c r="L404" s="10" t="str">
        <f t="shared" si="50"/>
        <v>1.A.2.4</v>
      </c>
      <c r="M404" s="12" t="s">
        <v>1936</v>
      </c>
      <c r="N404" t="s">
        <v>1578</v>
      </c>
      <c r="O404" t="str">
        <f t="shared" si="49"/>
        <v>1.A</v>
      </c>
    </row>
    <row r="405" spans="3:15" x14ac:dyDescent="0.25">
      <c r="C405" s="9">
        <v>484</v>
      </c>
      <c r="D405" s="16">
        <v>544</v>
      </c>
      <c r="E405" s="10" t="str">
        <f t="shared" si="45"/>
        <v>544</v>
      </c>
      <c r="F405" s="10" t="str">
        <f t="shared" si="46"/>
        <v>54</v>
      </c>
      <c r="G405" s="10">
        <f t="shared" si="47"/>
        <v>0</v>
      </c>
      <c r="H405" s="10" t="b">
        <f>IF(ISERROR(VLOOKUP(E405,cuentas_pyme!C:C,1,FALSE)),FALSE,TRUE)</f>
        <v>1</v>
      </c>
      <c r="I405" s="10" t="str">
        <f>VLOOKUP(D405,cuentas_balance!C:I,7,FALSE)</f>
        <v>1.A.2.2.3</v>
      </c>
      <c r="J405" s="11" t="str">
        <f t="shared" si="44"/>
        <v>1.A.2.2.3.544</v>
      </c>
      <c r="K405" s="10" t="str">
        <f t="shared" si="48"/>
        <v>1.A.2.2.3</v>
      </c>
      <c r="L405" s="10" t="str">
        <f t="shared" si="50"/>
        <v>1.A.2.2.3</v>
      </c>
      <c r="M405" s="12" t="s">
        <v>1937</v>
      </c>
      <c r="N405" t="s">
        <v>1578</v>
      </c>
      <c r="O405" t="str">
        <f t="shared" si="49"/>
        <v>1.A</v>
      </c>
    </row>
    <row r="406" spans="3:15" x14ac:dyDescent="0.25">
      <c r="C406" s="9">
        <v>485</v>
      </c>
      <c r="D406" s="16">
        <v>545</v>
      </c>
      <c r="E406" s="10" t="str">
        <f t="shared" si="45"/>
        <v>545</v>
      </c>
      <c r="F406" s="10" t="str">
        <f t="shared" si="46"/>
        <v>54</v>
      </c>
      <c r="G406" s="10">
        <f t="shared" si="47"/>
        <v>0</v>
      </c>
      <c r="H406" s="10" t="b">
        <f>IF(ISERROR(VLOOKUP(E406,cuentas_pyme!C:C,1,FALSE)),FALSE,TRUE)</f>
        <v>1</v>
      </c>
      <c r="I406" s="10" t="str">
        <f>VLOOKUP(D406,cuentas_balance!C:I,7,FALSE)</f>
        <v>1.A.2.4</v>
      </c>
      <c r="J406" s="11" t="str">
        <f t="shared" si="44"/>
        <v>1.A.2.4.545</v>
      </c>
      <c r="K406" s="10" t="str">
        <f t="shared" si="48"/>
        <v>1.A.2.4</v>
      </c>
      <c r="L406" s="10" t="str">
        <f t="shared" si="50"/>
        <v>1.A.2.4</v>
      </c>
      <c r="M406" s="12" t="s">
        <v>1938</v>
      </c>
      <c r="N406" t="s">
        <v>1578</v>
      </c>
      <c r="O406" t="str">
        <f t="shared" si="49"/>
        <v>1.A</v>
      </c>
    </row>
    <row r="407" spans="3:15" x14ac:dyDescent="0.25">
      <c r="C407" s="9">
        <v>486</v>
      </c>
      <c r="D407" s="16">
        <v>546</v>
      </c>
      <c r="E407" s="10" t="str">
        <f t="shared" si="45"/>
        <v>546</v>
      </c>
      <c r="F407" s="10" t="str">
        <f t="shared" si="46"/>
        <v>54</v>
      </c>
      <c r="G407" s="10">
        <f t="shared" si="47"/>
        <v>0</v>
      </c>
      <c r="H407" s="10" t="b">
        <f>IF(ISERROR(VLOOKUP(E407,cuentas_pyme!C:C,1,FALSE)),FALSE,TRUE)</f>
        <v>1</v>
      </c>
      <c r="I407" s="10" t="str">
        <f>VLOOKUP(D407,cuentas_balance!C:I,7,FALSE)</f>
        <v>1.A.2.4</v>
      </c>
      <c r="J407" s="11" t="str">
        <f t="shared" si="44"/>
        <v>1.A.2.4.546</v>
      </c>
      <c r="K407" s="10" t="str">
        <f t="shared" si="48"/>
        <v>1.A.2.4</v>
      </c>
      <c r="L407" s="10" t="str">
        <f t="shared" si="50"/>
        <v>1.A.2.4</v>
      </c>
      <c r="M407" s="12" t="s">
        <v>1939</v>
      </c>
      <c r="N407" t="s">
        <v>1578</v>
      </c>
      <c r="O407" t="str">
        <f t="shared" si="49"/>
        <v>1.A</v>
      </c>
    </row>
    <row r="408" spans="3:15" x14ac:dyDescent="0.25">
      <c r="C408" s="9">
        <v>487</v>
      </c>
      <c r="D408" s="16">
        <v>547</v>
      </c>
      <c r="E408" s="10" t="str">
        <f t="shared" si="45"/>
        <v>547</v>
      </c>
      <c r="F408" s="10" t="str">
        <f t="shared" si="46"/>
        <v>54</v>
      </c>
      <c r="G408" s="10">
        <f t="shared" si="47"/>
        <v>0</v>
      </c>
      <c r="H408" s="10" t="b">
        <f>IF(ISERROR(VLOOKUP(E408,cuentas_pyme!C:C,1,FALSE)),FALSE,TRUE)</f>
        <v>1</v>
      </c>
      <c r="I408" s="10" t="str">
        <f>VLOOKUP(D408,cuentas_balance!C:I,7,FALSE)</f>
        <v>1.A.2.4</v>
      </c>
      <c r="J408" s="11" t="str">
        <f t="shared" si="44"/>
        <v>1.A.2.4.547</v>
      </c>
      <c r="K408" s="10" t="str">
        <f t="shared" si="48"/>
        <v>1.A.2.4</v>
      </c>
      <c r="L408" s="10" t="str">
        <f t="shared" si="50"/>
        <v>1.A.2.4</v>
      </c>
      <c r="M408" s="12" t="s">
        <v>1940</v>
      </c>
      <c r="N408" t="s">
        <v>1578</v>
      </c>
      <c r="O408" t="str">
        <f t="shared" si="49"/>
        <v>1.A</v>
      </c>
    </row>
    <row r="409" spans="3:15" x14ac:dyDescent="0.25">
      <c r="C409" s="9">
        <v>488</v>
      </c>
      <c r="D409" s="16">
        <v>548</v>
      </c>
      <c r="E409" s="10" t="str">
        <f t="shared" si="45"/>
        <v>548</v>
      </c>
      <c r="F409" s="10" t="str">
        <f t="shared" si="46"/>
        <v>54</v>
      </c>
      <c r="G409" s="10">
        <f t="shared" si="47"/>
        <v>0</v>
      </c>
      <c r="H409" s="10" t="b">
        <f>IF(ISERROR(VLOOKUP(E409,cuentas_pyme!C:C,1,FALSE)),FALSE,TRUE)</f>
        <v>1</v>
      </c>
      <c r="I409" s="10" t="str">
        <f>VLOOKUP(D409,cuentas_balance!C:I,7,FALSE)</f>
        <v>1.A.2.4</v>
      </c>
      <c r="J409" s="11" t="str">
        <f t="shared" si="44"/>
        <v>1.A.2.4.548</v>
      </c>
      <c r="K409" s="10" t="str">
        <f t="shared" si="48"/>
        <v>1.A.2.4</v>
      </c>
      <c r="L409" s="10" t="str">
        <f t="shared" si="50"/>
        <v>1.A.2.4</v>
      </c>
      <c r="M409" s="12" t="s">
        <v>1941</v>
      </c>
      <c r="N409" t="s">
        <v>1578</v>
      </c>
      <c r="O409" t="str">
        <f t="shared" si="49"/>
        <v>1.A</v>
      </c>
    </row>
    <row r="410" spans="3:15" x14ac:dyDescent="0.25">
      <c r="C410" s="9">
        <v>489</v>
      </c>
      <c r="D410" s="16">
        <v>549</v>
      </c>
      <c r="E410" s="10" t="str">
        <f t="shared" si="45"/>
        <v>549</v>
      </c>
      <c r="F410" s="10" t="str">
        <f t="shared" si="46"/>
        <v>54</v>
      </c>
      <c r="G410" s="10">
        <f t="shared" si="47"/>
        <v>0</v>
      </c>
      <c r="H410" s="10" t="b">
        <f>IF(ISERROR(VLOOKUP(E410,cuentas_pyme!C:C,1,FALSE)),FALSE,TRUE)</f>
        <v>1</v>
      </c>
      <c r="I410" s="10" t="str">
        <f>VLOOKUP(D410,cuentas_balance!C:I,7,FALSE)</f>
        <v>1.A.2.4</v>
      </c>
      <c r="J410" s="11" t="str">
        <f t="shared" si="44"/>
        <v>1.A.2.4.549</v>
      </c>
      <c r="K410" s="10" t="str">
        <f t="shared" si="48"/>
        <v>1.A.2.4</v>
      </c>
      <c r="L410" s="10" t="str">
        <f t="shared" si="50"/>
        <v>1.A.2.4</v>
      </c>
      <c r="M410" s="12" t="s">
        <v>1942</v>
      </c>
      <c r="N410" t="s">
        <v>1578</v>
      </c>
      <c r="O410" t="str">
        <f t="shared" si="49"/>
        <v>1.A</v>
      </c>
    </row>
    <row r="411" spans="3:15" x14ac:dyDescent="0.25">
      <c r="C411" s="9">
        <v>492</v>
      </c>
      <c r="D411" s="16">
        <v>551</v>
      </c>
      <c r="E411" s="10" t="str">
        <f t="shared" si="45"/>
        <v>551</v>
      </c>
      <c r="F411" s="10" t="str">
        <f t="shared" si="46"/>
        <v>55</v>
      </c>
      <c r="G411" s="10">
        <f t="shared" si="47"/>
        <v>0</v>
      </c>
      <c r="H411" s="10" t="b">
        <f>IF(ISERROR(VLOOKUP(E411,cuentas_pyme!C:C,1,FALSE)),FALSE,TRUE)</f>
        <v>1</v>
      </c>
      <c r="I411" s="10" t="str">
        <f>VLOOKUP(D411,cuentas_balance!C:I,7,FALSE)</f>
        <v>1.A.2.4</v>
      </c>
      <c r="J411" s="11" t="str">
        <f t="shared" si="44"/>
        <v>1.A.2.4.551</v>
      </c>
      <c r="K411" s="10" t="str">
        <f t="shared" si="48"/>
        <v>1.A.2.4</v>
      </c>
      <c r="L411" s="10" t="str">
        <f t="shared" si="50"/>
        <v>1.A.2.4</v>
      </c>
      <c r="M411" s="12" t="s">
        <v>1943</v>
      </c>
      <c r="N411" t="s">
        <v>1578</v>
      </c>
      <c r="O411" t="str">
        <f t="shared" si="49"/>
        <v>1.A</v>
      </c>
    </row>
    <row r="412" spans="3:15" x14ac:dyDescent="0.25">
      <c r="C412" s="9">
        <v>494</v>
      </c>
      <c r="D412" s="16">
        <v>5523</v>
      </c>
      <c r="E412" s="10" t="str">
        <f t="shared" si="45"/>
        <v>5523</v>
      </c>
      <c r="F412" s="10" t="str">
        <f t="shared" si="46"/>
        <v>552</v>
      </c>
      <c r="G412" s="10">
        <f t="shared" si="47"/>
        <v>0</v>
      </c>
      <c r="H412" s="10" t="b">
        <f>IF(ISERROR(VLOOKUP(E412,cuentas_pyme!C:C,1,FALSE)),FALSE,TRUE)</f>
        <v>1</v>
      </c>
      <c r="I412" s="10" t="str">
        <f>VLOOKUP(D412,cuentas_balance!C:I,7,FALSE)</f>
        <v>1.A.2.3</v>
      </c>
      <c r="J412" s="11" t="str">
        <f t="shared" si="44"/>
        <v>1.A.2.3.5523</v>
      </c>
      <c r="K412" s="10" t="str">
        <f t="shared" si="48"/>
        <v>1.A.2.3</v>
      </c>
      <c r="L412" s="10" t="str">
        <f t="shared" si="50"/>
        <v>1.A.2.3</v>
      </c>
      <c r="M412" s="12" t="s">
        <v>1944</v>
      </c>
      <c r="N412" t="s">
        <v>1578</v>
      </c>
      <c r="O412" t="str">
        <f t="shared" si="49"/>
        <v>1.A</v>
      </c>
    </row>
    <row r="413" spans="3:15" x14ac:dyDescent="0.25">
      <c r="C413" s="9">
        <v>495</v>
      </c>
      <c r="D413" s="16">
        <v>5524</v>
      </c>
      <c r="E413" s="10" t="str">
        <f t="shared" si="45"/>
        <v>5524</v>
      </c>
      <c r="F413" s="10" t="str">
        <f t="shared" si="46"/>
        <v>552</v>
      </c>
      <c r="G413" s="10">
        <f t="shared" si="47"/>
        <v>0</v>
      </c>
      <c r="H413" s="10" t="b">
        <f>IF(ISERROR(VLOOKUP(E413,cuentas_pyme!C:C,1,FALSE)),FALSE,TRUE)</f>
        <v>1</v>
      </c>
      <c r="I413" s="10" t="str">
        <f>VLOOKUP(D413,cuentas_balance!C:I,7,FALSE)</f>
        <v>1.A.2.3</v>
      </c>
      <c r="J413" s="11" t="str">
        <f t="shared" si="44"/>
        <v>1.A.2.3.5524</v>
      </c>
      <c r="K413" s="10" t="str">
        <f t="shared" si="48"/>
        <v>1.A.2.3</v>
      </c>
      <c r="L413" s="10" t="str">
        <f t="shared" si="50"/>
        <v>1.A.2.3</v>
      </c>
      <c r="M413" s="12" t="s">
        <v>1945</v>
      </c>
      <c r="N413" t="s">
        <v>1578</v>
      </c>
      <c r="O413" t="str">
        <f t="shared" si="49"/>
        <v>1.A</v>
      </c>
    </row>
    <row r="414" spans="3:15" x14ac:dyDescent="0.25">
      <c r="C414" s="9">
        <v>496</v>
      </c>
      <c r="D414" s="16">
        <v>5525</v>
      </c>
      <c r="E414" s="10" t="str">
        <f t="shared" si="45"/>
        <v>5525</v>
      </c>
      <c r="F414" s="10" t="str">
        <f t="shared" si="46"/>
        <v>552</v>
      </c>
      <c r="G414" s="10">
        <f t="shared" si="47"/>
        <v>0</v>
      </c>
      <c r="H414" s="10" t="b">
        <f>IF(ISERROR(VLOOKUP(E414,cuentas_pyme!C:C,1,FALSE)),FALSE,TRUE)</f>
        <v>1</v>
      </c>
      <c r="I414" s="10" t="str">
        <f>VLOOKUP(D414,cuentas_balance!C:I,7,FALSE)</f>
        <v>1.A.2.4</v>
      </c>
      <c r="J414" s="11" t="str">
        <f t="shared" si="44"/>
        <v>1.A.2.4.5525</v>
      </c>
      <c r="K414" s="10" t="str">
        <f t="shared" si="48"/>
        <v>1.A.2.4</v>
      </c>
      <c r="L414" s="10" t="str">
        <f t="shared" si="50"/>
        <v>1.A.2.4</v>
      </c>
      <c r="M414" s="12" t="s">
        <v>1946</v>
      </c>
      <c r="N414" t="s">
        <v>1578</v>
      </c>
      <c r="O414" t="str">
        <f t="shared" si="49"/>
        <v>1.A</v>
      </c>
    </row>
    <row r="415" spans="3:15" x14ac:dyDescent="0.25">
      <c r="C415" s="9">
        <v>503</v>
      </c>
      <c r="D415" s="16">
        <v>555</v>
      </c>
      <c r="E415" s="10" t="str">
        <f t="shared" si="45"/>
        <v>555</v>
      </c>
      <c r="F415" s="10" t="str">
        <f t="shared" si="46"/>
        <v>55</v>
      </c>
      <c r="G415" s="10">
        <f t="shared" si="47"/>
        <v>0</v>
      </c>
      <c r="H415" s="10" t="b">
        <f>IF(ISERROR(VLOOKUP(E415,cuentas_pyme!C:C,1,FALSE)),FALSE,TRUE)</f>
        <v>1</v>
      </c>
      <c r="I415" s="10" t="str">
        <f>VLOOKUP(D415,cuentas_balance!C:I,7,FALSE)</f>
        <v>2.P.2.2.3</v>
      </c>
      <c r="J415" s="11" t="str">
        <f t="shared" si="44"/>
        <v>2.P.2.2.3.555</v>
      </c>
      <c r="K415" s="10" t="str">
        <f t="shared" si="48"/>
        <v>2.P.2.2.3</v>
      </c>
      <c r="L415" s="10" t="str">
        <f t="shared" si="50"/>
        <v>2.P.2.2.3</v>
      </c>
      <c r="M415" s="12" t="s">
        <v>1947</v>
      </c>
      <c r="N415" t="s">
        <v>1578</v>
      </c>
      <c r="O415" t="str">
        <f t="shared" si="49"/>
        <v>1.A</v>
      </c>
    </row>
    <row r="416" spans="3:15" x14ac:dyDescent="0.25">
      <c r="C416" s="9">
        <v>505</v>
      </c>
      <c r="D416" s="16">
        <v>5563</v>
      </c>
      <c r="E416" s="10" t="str">
        <f t="shared" si="45"/>
        <v>5563</v>
      </c>
      <c r="F416" s="10" t="str">
        <f t="shared" si="46"/>
        <v>556</v>
      </c>
      <c r="G416" s="10">
        <f t="shared" si="47"/>
        <v>0</v>
      </c>
      <c r="H416" s="10" t="b">
        <f>IF(ISERROR(VLOOKUP(E416,cuentas_pyme!C:C,1,FALSE)),FALSE,TRUE)</f>
        <v>1</v>
      </c>
      <c r="I416" s="10" t="str">
        <f>VLOOKUP(D416,cuentas_balance!C:I,7,FALSE)</f>
        <v>2.P.2.3</v>
      </c>
      <c r="J416" s="11" t="str">
        <f t="shared" ref="J416:J447" si="51">I416&amp;"."&amp;E416</f>
        <v>2.P.2.3.5563</v>
      </c>
      <c r="K416" s="10" t="str">
        <f t="shared" si="48"/>
        <v>2.P.2.3</v>
      </c>
      <c r="L416" s="10" t="str">
        <f t="shared" si="50"/>
        <v>2.P.2.3</v>
      </c>
      <c r="M416" s="12" t="s">
        <v>1948</v>
      </c>
      <c r="N416" t="s">
        <v>1578</v>
      </c>
      <c r="O416" t="str">
        <f t="shared" si="49"/>
        <v>1.A</v>
      </c>
    </row>
    <row r="417" spans="3:15" x14ac:dyDescent="0.25">
      <c r="C417" s="9">
        <v>506</v>
      </c>
      <c r="D417" s="16">
        <v>5564</v>
      </c>
      <c r="E417" s="10" t="str">
        <f t="shared" si="45"/>
        <v>5564</v>
      </c>
      <c r="F417" s="10" t="str">
        <f t="shared" si="46"/>
        <v>556</v>
      </c>
      <c r="G417" s="10">
        <f t="shared" si="47"/>
        <v>0</v>
      </c>
      <c r="H417" s="10" t="b">
        <f>IF(ISERROR(VLOOKUP(E417,cuentas_pyme!C:C,1,FALSE)),FALSE,TRUE)</f>
        <v>1</v>
      </c>
      <c r="I417" s="10" t="str">
        <f>VLOOKUP(D417,cuentas_balance!C:I,7,FALSE)</f>
        <v>2.P.2.3</v>
      </c>
      <c r="J417" s="11" t="str">
        <f t="shared" si="51"/>
        <v>2.P.2.3.5564</v>
      </c>
      <c r="K417" s="10" t="str">
        <f t="shared" si="48"/>
        <v>2.P.2.3</v>
      </c>
      <c r="L417" s="10" t="str">
        <f t="shared" si="50"/>
        <v>2.P.2.3</v>
      </c>
      <c r="M417" s="12" t="s">
        <v>1949</v>
      </c>
      <c r="N417" t="s">
        <v>1578</v>
      </c>
      <c r="O417" t="str">
        <f t="shared" si="49"/>
        <v>1.A</v>
      </c>
    </row>
    <row r="418" spans="3:15" x14ac:dyDescent="0.25">
      <c r="C418" s="9">
        <v>507</v>
      </c>
      <c r="D418" s="16">
        <v>5565</v>
      </c>
      <c r="E418" s="10" t="str">
        <f t="shared" si="45"/>
        <v>5565</v>
      </c>
      <c r="F418" s="10" t="str">
        <f t="shared" si="46"/>
        <v>556</v>
      </c>
      <c r="G418" s="10">
        <f t="shared" si="47"/>
        <v>0</v>
      </c>
      <c r="H418" s="10" t="b">
        <f>IF(ISERROR(VLOOKUP(E418,cuentas_pyme!C:C,1,FALSE)),FALSE,TRUE)</f>
        <v>1</v>
      </c>
      <c r="I418" s="10" t="str">
        <f>VLOOKUP(D418,cuentas_balance!C:I,7,FALSE)</f>
        <v>2.P.2.2.3</v>
      </c>
      <c r="J418" s="11" t="str">
        <f t="shared" si="51"/>
        <v>2.P.2.2.3.5565</v>
      </c>
      <c r="K418" s="10" t="str">
        <f t="shared" si="48"/>
        <v>2.P.2.2.3</v>
      </c>
      <c r="L418" s="10" t="str">
        <f t="shared" si="50"/>
        <v>2.P.2.2.3</v>
      </c>
      <c r="M418" s="12" t="s">
        <v>1950</v>
      </c>
      <c r="N418" t="s">
        <v>1578</v>
      </c>
      <c r="O418" t="str">
        <f t="shared" si="49"/>
        <v>1.A</v>
      </c>
    </row>
    <row r="419" spans="3:15" x14ac:dyDescent="0.25">
      <c r="C419" s="9">
        <v>508</v>
      </c>
      <c r="D419" s="16">
        <v>5566</v>
      </c>
      <c r="E419" s="10" t="str">
        <f t="shared" si="45"/>
        <v>5566</v>
      </c>
      <c r="F419" s="10" t="str">
        <f t="shared" si="46"/>
        <v>556</v>
      </c>
      <c r="G419" s="10">
        <f t="shared" si="47"/>
        <v>0</v>
      </c>
      <c r="H419" s="10" t="b">
        <f>IF(ISERROR(VLOOKUP(E419,cuentas_pyme!C:C,1,FALSE)),FALSE,TRUE)</f>
        <v>1</v>
      </c>
      <c r="I419" s="10" t="str">
        <f>VLOOKUP(D419,cuentas_balance!C:I,7,FALSE)</f>
        <v>2.P.2.2.3</v>
      </c>
      <c r="J419" s="11" t="str">
        <f t="shared" si="51"/>
        <v>2.P.2.2.3.5566</v>
      </c>
      <c r="K419" s="10" t="str">
        <f t="shared" si="48"/>
        <v>2.P.2.2.3</v>
      </c>
      <c r="L419" s="10" t="str">
        <f t="shared" si="50"/>
        <v>2.P.2.2.3</v>
      </c>
      <c r="M419" s="12" t="s">
        <v>1951</v>
      </c>
      <c r="N419" t="s">
        <v>1578</v>
      </c>
      <c r="O419" t="str">
        <f t="shared" si="49"/>
        <v>1.A</v>
      </c>
    </row>
    <row r="420" spans="3:15" x14ac:dyDescent="0.25">
      <c r="C420" s="9">
        <v>509</v>
      </c>
      <c r="D420" s="16">
        <v>557</v>
      </c>
      <c r="E420" s="10" t="str">
        <f t="shared" si="45"/>
        <v>557</v>
      </c>
      <c r="F420" s="10" t="str">
        <f t="shared" si="46"/>
        <v>55</v>
      </c>
      <c r="G420" s="10">
        <f t="shared" si="47"/>
        <v>0</v>
      </c>
      <c r="H420" s="10" t="b">
        <f>IF(ISERROR(VLOOKUP(E420,cuentas_pyme!C:C,1,FALSE)),FALSE,TRUE)</f>
        <v>1</v>
      </c>
      <c r="I420" s="10" t="str">
        <f>VLOOKUP(D420,cuentas_balance!C:I,7,FALSE)</f>
        <v>3.E.1.8</v>
      </c>
      <c r="J420" s="11" t="str">
        <f t="shared" si="51"/>
        <v>3.E.1.8.557</v>
      </c>
      <c r="K420" s="10" t="str">
        <f t="shared" si="48"/>
        <v>3.E.1.8</v>
      </c>
      <c r="L420" s="10" t="str">
        <f t="shared" si="50"/>
        <v>3.E.1.8</v>
      </c>
      <c r="M420" s="12" t="s">
        <v>1952</v>
      </c>
      <c r="N420" t="s">
        <v>1578</v>
      </c>
      <c r="O420" t="str">
        <f t="shared" si="49"/>
        <v>1.A</v>
      </c>
    </row>
    <row r="421" spans="3:15" x14ac:dyDescent="0.25">
      <c r="C421" s="9">
        <v>511</v>
      </c>
      <c r="D421" s="16">
        <v>5580</v>
      </c>
      <c r="E421" s="10" t="str">
        <f t="shared" si="45"/>
        <v>5580</v>
      </c>
      <c r="F421" s="10" t="str">
        <f t="shared" si="46"/>
        <v>558</v>
      </c>
      <c r="G421" s="10">
        <f t="shared" si="47"/>
        <v>0</v>
      </c>
      <c r="H421" s="10" t="b">
        <f>IF(ISERROR(VLOOKUP(E421,cuentas_pyme!C:C,1,FALSE)),FALSE,TRUE)</f>
        <v>1</v>
      </c>
      <c r="I421" s="10" t="str">
        <f>VLOOKUP(D421,cuentas_balance!C:I,7,FALSE)</f>
        <v>1.A.2.2.2</v>
      </c>
      <c r="J421" s="11" t="str">
        <f t="shared" si="51"/>
        <v>1.A.2.2.2.5580</v>
      </c>
      <c r="K421" s="10" t="str">
        <f t="shared" si="48"/>
        <v>1.A.2.2.2</v>
      </c>
      <c r="L421" s="10" t="str">
        <f t="shared" si="50"/>
        <v>1.A.2.2.2</v>
      </c>
      <c r="M421" s="12" t="s">
        <v>1953</v>
      </c>
      <c r="N421" t="s">
        <v>1578</v>
      </c>
      <c r="O421" t="str">
        <f t="shared" si="49"/>
        <v>1.A</v>
      </c>
    </row>
    <row r="422" spans="3:15" x14ac:dyDescent="0.25">
      <c r="C422" s="9">
        <v>514</v>
      </c>
      <c r="D422" s="16">
        <v>5590</v>
      </c>
      <c r="E422" s="10" t="str">
        <f t="shared" si="45"/>
        <v>5590</v>
      </c>
      <c r="F422" s="10" t="str">
        <f t="shared" si="46"/>
        <v>559</v>
      </c>
      <c r="G422" s="10">
        <f t="shared" si="47"/>
        <v>0</v>
      </c>
      <c r="H422" s="10" t="b">
        <f>IF(ISERROR(VLOOKUP(E422,cuentas_pyme!C:C,1,FALSE)),FALSE,TRUE)</f>
        <v>1</v>
      </c>
      <c r="I422" s="10" t="str">
        <f>VLOOKUP(D422,cuentas_balance!C:I,7,FALSE)</f>
        <v>1.A.2.4</v>
      </c>
      <c r="J422" s="11" t="str">
        <f t="shared" si="51"/>
        <v>1.A.2.4.5590</v>
      </c>
      <c r="K422" s="10" t="str">
        <f t="shared" si="48"/>
        <v>1.A.2.4</v>
      </c>
      <c r="L422" s="10" t="str">
        <f t="shared" si="50"/>
        <v>1.A.2.4</v>
      </c>
      <c r="M422" s="12" t="s">
        <v>1954</v>
      </c>
      <c r="N422" t="s">
        <v>1578</v>
      </c>
      <c r="O422" t="str">
        <f t="shared" si="49"/>
        <v>1.A</v>
      </c>
    </row>
    <row r="423" spans="3:15" x14ac:dyDescent="0.25">
      <c r="C423" s="9">
        <v>516</v>
      </c>
      <c r="D423" s="16">
        <v>5595</v>
      </c>
      <c r="E423" s="10" t="str">
        <f t="shared" si="45"/>
        <v>5595</v>
      </c>
      <c r="F423" s="10" t="str">
        <f t="shared" si="46"/>
        <v>559</v>
      </c>
      <c r="G423" s="10">
        <f t="shared" si="47"/>
        <v>0</v>
      </c>
      <c r="H423" s="10" t="b">
        <f>IF(ISERROR(VLOOKUP(E423,cuentas_pyme!C:C,1,FALSE)),FALSE,TRUE)</f>
        <v>1</v>
      </c>
      <c r="I423" s="10" t="str">
        <f>VLOOKUP(D423,cuentas_balance!C:I,7,FALSE)</f>
        <v>2.P.2.2.3</v>
      </c>
      <c r="J423" s="11" t="str">
        <f t="shared" si="51"/>
        <v>2.P.2.2.3.5595</v>
      </c>
      <c r="K423" s="10" t="str">
        <f t="shared" si="48"/>
        <v>2.P.2.2.3</v>
      </c>
      <c r="L423" s="10" t="str">
        <f t="shared" si="50"/>
        <v>2.P.2.2.3</v>
      </c>
      <c r="M423" s="12" t="s">
        <v>1955</v>
      </c>
      <c r="N423" t="s">
        <v>1581</v>
      </c>
      <c r="O423" t="str">
        <f t="shared" ref="O423:O454" si="52">IFERROR(VLOOKUP(N423,$Q$4:$R$9,2,FALSE),"")</f>
        <v>2.P</v>
      </c>
    </row>
    <row r="424" spans="3:15" x14ac:dyDescent="0.25">
      <c r="C424" s="9">
        <v>519</v>
      </c>
      <c r="D424" s="16">
        <v>560</v>
      </c>
      <c r="E424" s="10" t="str">
        <f t="shared" ref="E424:E481" si="53">TEXT(D424,0)</f>
        <v>560</v>
      </c>
      <c r="F424" s="10" t="str">
        <f t="shared" ref="F424:F481" si="54">LEFT(D424,LEN(D424)-1)</f>
        <v>56</v>
      </c>
      <c r="G424" s="10">
        <f t="shared" si="47"/>
        <v>0</v>
      </c>
      <c r="H424" s="10" t="b">
        <f>IF(ISERROR(VLOOKUP(E424,cuentas_pyme!C:C,1,FALSE)),FALSE,TRUE)</f>
        <v>1</v>
      </c>
      <c r="I424" s="10" t="str">
        <f>VLOOKUP(D424,cuentas_balance!C:I,7,FALSE)</f>
        <v>2.P.2.2.3</v>
      </c>
      <c r="J424" s="11" t="str">
        <f t="shared" si="51"/>
        <v>2.P.2.2.3.560</v>
      </c>
      <c r="K424" s="10" t="str">
        <f t="shared" si="48"/>
        <v>2.P.2.2.3</v>
      </c>
      <c r="L424" s="10" t="str">
        <f t="shared" si="50"/>
        <v>2.P.2.2.3</v>
      </c>
      <c r="M424" s="12" t="s">
        <v>1956</v>
      </c>
      <c r="N424" t="s">
        <v>1581</v>
      </c>
      <c r="O424" t="str">
        <f t="shared" si="52"/>
        <v>2.P</v>
      </c>
    </row>
    <row r="425" spans="3:15" x14ac:dyDescent="0.25">
      <c r="C425" s="9">
        <v>520</v>
      </c>
      <c r="D425" s="16">
        <v>561</v>
      </c>
      <c r="E425" s="10" t="str">
        <f t="shared" si="53"/>
        <v>561</v>
      </c>
      <c r="F425" s="10" t="str">
        <f t="shared" si="54"/>
        <v>56</v>
      </c>
      <c r="G425" s="10">
        <f t="shared" si="47"/>
        <v>0</v>
      </c>
      <c r="H425" s="10" t="b">
        <f>IF(ISERROR(VLOOKUP(E425,cuentas_pyme!C:C,1,FALSE)),FALSE,TRUE)</f>
        <v>1</v>
      </c>
      <c r="I425" s="10" t="str">
        <f>VLOOKUP(D425,cuentas_balance!C:I,7,FALSE)</f>
        <v>2.P.2.2.3</v>
      </c>
      <c r="J425" s="11" t="str">
        <f t="shared" si="51"/>
        <v>2.P.2.2.3.561</v>
      </c>
      <c r="K425" s="10" t="str">
        <f t="shared" si="48"/>
        <v>2.P.2.2.3</v>
      </c>
      <c r="L425" s="10" t="str">
        <f t="shared" si="50"/>
        <v>2.P.2.2.3</v>
      </c>
      <c r="M425" s="12" t="s">
        <v>1957</v>
      </c>
      <c r="N425" t="s">
        <v>1581</v>
      </c>
      <c r="O425" t="str">
        <f t="shared" si="52"/>
        <v>2.P</v>
      </c>
    </row>
    <row r="426" spans="3:15" x14ac:dyDescent="0.25">
      <c r="C426" s="9">
        <v>521</v>
      </c>
      <c r="D426" s="16">
        <v>565</v>
      </c>
      <c r="E426" s="10" t="str">
        <f t="shared" si="53"/>
        <v>565</v>
      </c>
      <c r="F426" s="10" t="str">
        <f t="shared" si="54"/>
        <v>56</v>
      </c>
      <c r="G426" s="10">
        <f t="shared" si="47"/>
        <v>0</v>
      </c>
      <c r="H426" s="10" t="b">
        <f>IF(ISERROR(VLOOKUP(E426,cuentas_pyme!C:C,1,FALSE)),FALSE,TRUE)</f>
        <v>1</v>
      </c>
      <c r="I426" s="10" t="str">
        <f>VLOOKUP(D426,cuentas_balance!C:I,7,FALSE)</f>
        <v>1.A.2.4</v>
      </c>
      <c r="J426" s="11" t="str">
        <f t="shared" si="51"/>
        <v>1.A.2.4.565</v>
      </c>
      <c r="K426" s="10" t="str">
        <f t="shared" si="48"/>
        <v>1.A.2.4</v>
      </c>
      <c r="L426" s="10" t="str">
        <f t="shared" si="50"/>
        <v>1.A.2.4</v>
      </c>
      <c r="M426" s="12" t="s">
        <v>1958</v>
      </c>
      <c r="N426" t="s">
        <v>1578</v>
      </c>
      <c r="O426" t="str">
        <f t="shared" si="52"/>
        <v>1.A</v>
      </c>
    </row>
    <row r="427" spans="3:15" x14ac:dyDescent="0.25">
      <c r="C427" s="9">
        <v>522</v>
      </c>
      <c r="D427" s="16">
        <v>566</v>
      </c>
      <c r="E427" s="10" t="str">
        <f t="shared" si="53"/>
        <v>566</v>
      </c>
      <c r="F427" s="10" t="str">
        <f t="shared" si="54"/>
        <v>56</v>
      </c>
      <c r="G427" s="10">
        <f t="shared" si="47"/>
        <v>0</v>
      </c>
      <c r="H427" s="10" t="b">
        <f>IF(ISERROR(VLOOKUP(E427,cuentas_pyme!C:C,1,FALSE)),FALSE,TRUE)</f>
        <v>1</v>
      </c>
      <c r="I427" s="10" t="str">
        <f>VLOOKUP(D427,cuentas_balance!C:I,7,FALSE)</f>
        <v>1.A.2.4</v>
      </c>
      <c r="J427" s="11" t="str">
        <f t="shared" si="51"/>
        <v>1.A.2.4.566</v>
      </c>
      <c r="K427" s="10" t="str">
        <f t="shared" si="48"/>
        <v>1.A.2.4</v>
      </c>
      <c r="L427" s="10" t="str">
        <f t="shared" si="50"/>
        <v>1.A.2.4</v>
      </c>
      <c r="M427" s="12" t="s">
        <v>1959</v>
      </c>
      <c r="N427" t="s">
        <v>1578</v>
      </c>
      <c r="O427" t="str">
        <f t="shared" si="52"/>
        <v>1.A</v>
      </c>
    </row>
    <row r="428" spans="3:15" x14ac:dyDescent="0.25">
      <c r="C428" s="9">
        <v>523</v>
      </c>
      <c r="D428" s="16">
        <v>567</v>
      </c>
      <c r="E428" s="10" t="str">
        <f t="shared" si="53"/>
        <v>567</v>
      </c>
      <c r="F428" s="10" t="str">
        <f t="shared" si="54"/>
        <v>56</v>
      </c>
      <c r="G428" s="10">
        <f t="shared" si="47"/>
        <v>0</v>
      </c>
      <c r="H428" s="10" t="b">
        <f>IF(ISERROR(VLOOKUP(E428,cuentas_pyme!C:C,1,FALSE)),FALSE,TRUE)</f>
        <v>1</v>
      </c>
      <c r="I428" s="10" t="str">
        <f>VLOOKUP(D428,cuentas_balance!C:I,7,FALSE)</f>
        <v>1.A.2.5</v>
      </c>
      <c r="J428" s="11" t="str">
        <f t="shared" si="51"/>
        <v>1.A.2.5.567</v>
      </c>
      <c r="K428" s="10" t="str">
        <f t="shared" ref="K428:K447" si="55">I428</f>
        <v>1.A.2.5</v>
      </c>
      <c r="L428" s="10" t="str">
        <f t="shared" si="50"/>
        <v>1.A.2.5</v>
      </c>
      <c r="M428" s="12" t="s">
        <v>1960</v>
      </c>
      <c r="N428" t="s">
        <v>1578</v>
      </c>
      <c r="O428" t="str">
        <f t="shared" si="52"/>
        <v>1.A</v>
      </c>
    </row>
    <row r="429" spans="3:15" x14ac:dyDescent="0.25">
      <c r="C429" s="9">
        <v>524</v>
      </c>
      <c r="D429" s="16">
        <v>568</v>
      </c>
      <c r="E429" s="10" t="str">
        <f t="shared" si="53"/>
        <v>568</v>
      </c>
      <c r="F429" s="10" t="str">
        <f t="shared" si="54"/>
        <v>56</v>
      </c>
      <c r="G429" s="10">
        <f t="shared" si="47"/>
        <v>0</v>
      </c>
      <c r="H429" s="10" t="b">
        <f>IF(ISERROR(VLOOKUP(E429,cuentas_pyme!C:C,1,FALSE)),FALSE,TRUE)</f>
        <v>1</v>
      </c>
      <c r="I429" s="10" t="str">
        <f>VLOOKUP(D429,cuentas_balance!C:I,7,FALSE)</f>
        <v>2.P.2.5</v>
      </c>
      <c r="J429" s="11" t="str">
        <f t="shared" si="51"/>
        <v>2.P.2.5.568</v>
      </c>
      <c r="K429" s="10" t="str">
        <f t="shared" si="55"/>
        <v>2.P.2.5</v>
      </c>
      <c r="L429" s="10" t="str">
        <f t="shared" si="50"/>
        <v>2.P.2.5</v>
      </c>
      <c r="M429" s="12" t="s">
        <v>1961</v>
      </c>
      <c r="N429" t="s">
        <v>1581</v>
      </c>
      <c r="O429" t="str">
        <f t="shared" si="52"/>
        <v>2.P</v>
      </c>
    </row>
    <row r="430" spans="3:15" x14ac:dyDescent="0.25">
      <c r="C430" s="9">
        <v>526</v>
      </c>
      <c r="D430" s="16">
        <v>57</v>
      </c>
      <c r="E430" s="10" t="str">
        <f t="shared" si="53"/>
        <v>57</v>
      </c>
      <c r="F430" s="10" t="str">
        <f t="shared" si="54"/>
        <v>5</v>
      </c>
      <c r="G430" s="10">
        <f t="shared" si="47"/>
        <v>1</v>
      </c>
      <c r="H430" s="10" t="b">
        <f>IF(ISERROR(VLOOKUP(E430,cuentas_pyme!C:C,1,FALSE)),FALSE,TRUE)</f>
        <v>1</v>
      </c>
      <c r="I430" s="10" t="str">
        <f>VLOOKUP(D430,cuentas_balance!C:I,7,FALSE)</f>
        <v>1.A.2.6</v>
      </c>
      <c r="J430" s="11" t="str">
        <f t="shared" si="51"/>
        <v>1.A.2.6.57</v>
      </c>
      <c r="K430" s="10" t="str">
        <f t="shared" si="55"/>
        <v>1.A.2.6</v>
      </c>
      <c r="L430" s="10" t="str">
        <f t="shared" si="50"/>
        <v>1.A.2.6</v>
      </c>
      <c r="M430" s="12" t="s">
        <v>3092</v>
      </c>
      <c r="N430" t="s">
        <v>1578</v>
      </c>
      <c r="O430" t="str">
        <f t="shared" si="52"/>
        <v>1.A</v>
      </c>
    </row>
    <row r="431" spans="3:15" x14ac:dyDescent="0.25">
      <c r="C431" s="9">
        <v>527</v>
      </c>
      <c r="D431" s="16">
        <v>570</v>
      </c>
      <c r="E431" s="10" t="str">
        <f t="shared" si="53"/>
        <v>570</v>
      </c>
      <c r="F431" s="10" t="str">
        <f t="shared" si="54"/>
        <v>57</v>
      </c>
      <c r="G431" s="10">
        <f t="shared" si="47"/>
        <v>0</v>
      </c>
      <c r="H431" s="10" t="b">
        <f>IF(ISERROR(VLOOKUP(E431,cuentas_pyme!C:C,1,FALSE)),FALSE,TRUE)</f>
        <v>1</v>
      </c>
      <c r="I431" s="10" t="s">
        <v>2863</v>
      </c>
      <c r="J431" s="11" t="s">
        <v>2864</v>
      </c>
      <c r="K431" s="10" t="str">
        <f t="shared" si="55"/>
        <v>1.A.2.6.57</v>
      </c>
      <c r="L431" s="10" t="str">
        <f t="shared" si="50"/>
        <v>1.A.2.6.57</v>
      </c>
      <c r="M431" s="12" t="s">
        <v>1962</v>
      </c>
      <c r="N431" t="s">
        <v>1578</v>
      </c>
      <c r="O431" t="str">
        <f t="shared" si="52"/>
        <v>1.A</v>
      </c>
    </row>
    <row r="432" spans="3:15" x14ac:dyDescent="0.25">
      <c r="C432" s="9">
        <v>528</v>
      </c>
      <c r="D432" s="16">
        <v>571</v>
      </c>
      <c r="E432" s="10" t="str">
        <f t="shared" si="53"/>
        <v>571</v>
      </c>
      <c r="F432" s="10" t="str">
        <f t="shared" si="54"/>
        <v>57</v>
      </c>
      <c r="G432" s="10">
        <f t="shared" si="47"/>
        <v>0</v>
      </c>
      <c r="H432" s="10" t="b">
        <f>IF(ISERROR(VLOOKUP(E432,cuentas_pyme!C:C,1,FALSE)),FALSE,TRUE)</f>
        <v>1</v>
      </c>
      <c r="I432" s="10" t="s">
        <v>2863</v>
      </c>
      <c r="J432" s="11" t="s">
        <v>2865</v>
      </c>
      <c r="K432" s="10" t="str">
        <f t="shared" si="55"/>
        <v>1.A.2.6.57</v>
      </c>
      <c r="L432" s="10" t="str">
        <f t="shared" si="50"/>
        <v>1.A.2.6.57</v>
      </c>
      <c r="M432" s="12" t="s">
        <v>1963</v>
      </c>
      <c r="N432" t="s">
        <v>1578</v>
      </c>
      <c r="O432" t="str">
        <f t="shared" si="52"/>
        <v>1.A</v>
      </c>
    </row>
    <row r="433" spans="3:15" x14ac:dyDescent="0.25">
      <c r="C433" s="9">
        <v>529</v>
      </c>
      <c r="D433" s="16">
        <v>572</v>
      </c>
      <c r="E433" s="10" t="str">
        <f t="shared" si="53"/>
        <v>572</v>
      </c>
      <c r="F433" s="10" t="str">
        <f t="shared" si="54"/>
        <v>57</v>
      </c>
      <c r="G433" s="10">
        <f t="shared" si="47"/>
        <v>0</v>
      </c>
      <c r="H433" s="10" t="b">
        <f>IF(ISERROR(VLOOKUP(E433,cuentas_pyme!C:C,1,FALSE)),FALSE,TRUE)</f>
        <v>1</v>
      </c>
      <c r="I433" s="10" t="s">
        <v>2863</v>
      </c>
      <c r="J433" s="11" t="s">
        <v>2866</v>
      </c>
      <c r="K433" s="10" t="str">
        <f t="shared" si="55"/>
        <v>1.A.2.6.57</v>
      </c>
      <c r="L433" s="10" t="str">
        <f t="shared" si="50"/>
        <v>1.A.2.6.57</v>
      </c>
      <c r="M433" s="12" t="s">
        <v>1964</v>
      </c>
      <c r="N433" t="s">
        <v>1578</v>
      </c>
      <c r="O433" t="str">
        <f t="shared" si="52"/>
        <v>1.A</v>
      </c>
    </row>
    <row r="434" spans="3:15" x14ac:dyDescent="0.25">
      <c r="C434" s="9">
        <v>530</v>
      </c>
      <c r="D434" s="16">
        <v>573</v>
      </c>
      <c r="E434" s="10" t="str">
        <f t="shared" si="53"/>
        <v>573</v>
      </c>
      <c r="F434" s="10" t="str">
        <f t="shared" si="54"/>
        <v>57</v>
      </c>
      <c r="G434" s="10">
        <f t="shared" si="47"/>
        <v>0</v>
      </c>
      <c r="H434" s="10" t="b">
        <f>IF(ISERROR(VLOOKUP(E434,cuentas_pyme!C:C,1,FALSE)),FALSE,TRUE)</f>
        <v>1</v>
      </c>
      <c r="I434" s="10" t="s">
        <v>2863</v>
      </c>
      <c r="J434" s="11" t="s">
        <v>2867</v>
      </c>
      <c r="K434" s="10" t="str">
        <f t="shared" si="55"/>
        <v>1.A.2.6.57</v>
      </c>
      <c r="L434" s="10" t="str">
        <f t="shared" si="50"/>
        <v>1.A.2.6.57</v>
      </c>
      <c r="M434" s="12" t="s">
        <v>1965</v>
      </c>
      <c r="N434" t="s">
        <v>1578</v>
      </c>
      <c r="O434" t="str">
        <f t="shared" si="52"/>
        <v>1.A</v>
      </c>
    </row>
    <row r="435" spans="3:15" x14ac:dyDescent="0.25">
      <c r="C435" s="9">
        <v>531</v>
      </c>
      <c r="D435" s="16">
        <v>574</v>
      </c>
      <c r="E435" s="10" t="str">
        <f t="shared" si="53"/>
        <v>574</v>
      </c>
      <c r="F435" s="10" t="str">
        <f t="shared" si="54"/>
        <v>57</v>
      </c>
      <c r="G435" s="10">
        <f t="shared" si="47"/>
        <v>0</v>
      </c>
      <c r="H435" s="10" t="b">
        <f>IF(ISERROR(VLOOKUP(E435,cuentas_pyme!C:C,1,FALSE)),FALSE,TRUE)</f>
        <v>1</v>
      </c>
      <c r="I435" s="10" t="s">
        <v>2863</v>
      </c>
      <c r="J435" s="11" t="s">
        <v>2868</v>
      </c>
      <c r="K435" s="10" t="str">
        <f t="shared" si="55"/>
        <v>1.A.2.6.57</v>
      </c>
      <c r="L435" s="10" t="str">
        <f t="shared" si="50"/>
        <v>1.A.2.6.57</v>
      </c>
      <c r="M435" s="12" t="s">
        <v>1966</v>
      </c>
      <c r="N435" t="s">
        <v>1578</v>
      </c>
      <c r="O435" t="str">
        <f t="shared" si="52"/>
        <v>1.A</v>
      </c>
    </row>
    <row r="436" spans="3:15" x14ac:dyDescent="0.25">
      <c r="C436" s="9">
        <v>532</v>
      </c>
      <c r="D436" s="16">
        <v>575</v>
      </c>
      <c r="E436" s="10" t="str">
        <f t="shared" si="53"/>
        <v>575</v>
      </c>
      <c r="F436" s="10" t="str">
        <f t="shared" si="54"/>
        <v>57</v>
      </c>
      <c r="G436" s="10">
        <f t="shared" si="47"/>
        <v>0</v>
      </c>
      <c r="H436" s="10" t="b">
        <f>IF(ISERROR(VLOOKUP(E436,cuentas_pyme!C:C,1,FALSE)),FALSE,TRUE)</f>
        <v>1</v>
      </c>
      <c r="I436" s="10" t="s">
        <v>2863</v>
      </c>
      <c r="J436" s="11" t="s">
        <v>2869</v>
      </c>
      <c r="K436" s="10" t="str">
        <f t="shared" si="55"/>
        <v>1.A.2.6.57</v>
      </c>
      <c r="L436" s="10" t="str">
        <f t="shared" si="50"/>
        <v>1.A.2.6.57</v>
      </c>
      <c r="M436" s="12" t="s">
        <v>1967</v>
      </c>
      <c r="N436" t="s">
        <v>1578</v>
      </c>
      <c r="O436" t="str">
        <f t="shared" si="52"/>
        <v>1.A</v>
      </c>
    </row>
    <row r="437" spans="3:15" x14ac:dyDescent="0.25">
      <c r="C437" s="9">
        <v>533</v>
      </c>
      <c r="D437" s="16">
        <v>576</v>
      </c>
      <c r="E437" s="10" t="str">
        <f t="shared" si="53"/>
        <v>576</v>
      </c>
      <c r="F437" s="10" t="str">
        <f t="shared" si="54"/>
        <v>57</v>
      </c>
      <c r="G437" s="10">
        <f t="shared" si="47"/>
        <v>0</v>
      </c>
      <c r="H437" s="10" t="b">
        <f>IF(ISERROR(VLOOKUP(E437,cuentas_pyme!C:C,1,FALSE)),FALSE,TRUE)</f>
        <v>1</v>
      </c>
      <c r="I437" s="10" t="s">
        <v>2863</v>
      </c>
      <c r="J437" s="11" t="s">
        <v>2870</v>
      </c>
      <c r="K437" s="10" t="str">
        <f t="shared" si="55"/>
        <v>1.A.2.6.57</v>
      </c>
      <c r="L437" s="10" t="str">
        <f t="shared" si="50"/>
        <v>1.A.2.6.57</v>
      </c>
      <c r="M437" s="12" t="s">
        <v>1968</v>
      </c>
      <c r="N437" t="s">
        <v>1578</v>
      </c>
      <c r="O437" t="str">
        <f t="shared" si="52"/>
        <v>1.A</v>
      </c>
    </row>
    <row r="438" spans="3:15" x14ac:dyDescent="0.25">
      <c r="C438" s="9">
        <v>547</v>
      </c>
      <c r="D438" s="16">
        <v>5933</v>
      </c>
      <c r="E438" s="10" t="str">
        <f t="shared" si="53"/>
        <v>5933</v>
      </c>
      <c r="F438" s="10" t="str">
        <f t="shared" si="54"/>
        <v>593</v>
      </c>
      <c r="G438" s="10">
        <f t="shared" si="47"/>
        <v>0</v>
      </c>
      <c r="H438" s="10" t="b">
        <f>IF(ISERROR(VLOOKUP(E438,cuentas_pyme!C:C,1,FALSE)),FALSE,TRUE)</f>
        <v>1</v>
      </c>
      <c r="I438" s="10" t="str">
        <f>VLOOKUP(D438,cuentas_balance!C:I,7,FALSE)</f>
        <v>1.A.2.3</v>
      </c>
      <c r="J438" s="11" t="str">
        <f t="shared" si="51"/>
        <v>1.A.2.3.5933</v>
      </c>
      <c r="K438" s="10" t="str">
        <f t="shared" si="55"/>
        <v>1.A.2.3</v>
      </c>
      <c r="L438" s="10" t="str">
        <f t="shared" si="50"/>
        <v>1.A.2.3</v>
      </c>
      <c r="M438" s="12" t="s">
        <v>1970</v>
      </c>
      <c r="N438" t="s">
        <v>1578</v>
      </c>
      <c r="O438" t="str">
        <f t="shared" si="52"/>
        <v>1.A</v>
      </c>
    </row>
    <row r="439" spans="3:15" x14ac:dyDescent="0.25">
      <c r="C439" s="9">
        <v>548</v>
      </c>
      <c r="D439" s="16">
        <v>5934</v>
      </c>
      <c r="E439" s="10" t="str">
        <f t="shared" si="53"/>
        <v>5934</v>
      </c>
      <c r="F439" s="10" t="str">
        <f t="shared" si="54"/>
        <v>593</v>
      </c>
      <c r="G439" s="10">
        <f t="shared" si="47"/>
        <v>0</v>
      </c>
      <c r="H439" s="10" t="b">
        <f>IF(ISERROR(VLOOKUP(E439,cuentas_pyme!C:C,1,FALSE)),FALSE,TRUE)</f>
        <v>1</v>
      </c>
      <c r="I439" s="10" t="str">
        <f>VLOOKUP(D439,cuentas_balance!C:I,7,FALSE)</f>
        <v>1.A.2.3</v>
      </c>
      <c r="J439" s="11" t="str">
        <f t="shared" si="51"/>
        <v>1.A.2.3.5934</v>
      </c>
      <c r="K439" s="10" t="str">
        <f t="shared" si="55"/>
        <v>1.A.2.3</v>
      </c>
      <c r="L439" s="10" t="str">
        <f t="shared" si="50"/>
        <v>1.A.2.3</v>
      </c>
      <c r="M439" s="12" t="s">
        <v>1971</v>
      </c>
      <c r="N439" t="s">
        <v>1578</v>
      </c>
      <c r="O439" t="str">
        <f t="shared" si="52"/>
        <v>1.A</v>
      </c>
    </row>
    <row r="440" spans="3:15" x14ac:dyDescent="0.25">
      <c r="C440" s="9">
        <v>550</v>
      </c>
      <c r="D440" s="16">
        <v>5943</v>
      </c>
      <c r="E440" s="10" t="str">
        <f t="shared" si="53"/>
        <v>5943</v>
      </c>
      <c r="F440" s="10" t="str">
        <f t="shared" si="54"/>
        <v>594</v>
      </c>
      <c r="G440" s="10">
        <f t="shared" si="47"/>
        <v>0</v>
      </c>
      <c r="H440" s="10" t="b">
        <f>IF(ISERROR(VLOOKUP(E440,cuentas_pyme!C:C,1,FALSE)),FALSE,TRUE)</f>
        <v>1</v>
      </c>
      <c r="I440" s="10" t="str">
        <f>VLOOKUP(D440,cuentas_balance!C:I,7,FALSE)</f>
        <v>1.A.2.3</v>
      </c>
      <c r="J440" s="11" t="str">
        <f t="shared" si="51"/>
        <v>1.A.2.3.5943</v>
      </c>
      <c r="K440" s="10" t="str">
        <f t="shared" si="55"/>
        <v>1.A.2.3</v>
      </c>
      <c r="L440" s="10" t="str">
        <f t="shared" si="50"/>
        <v>1.A.2.3</v>
      </c>
      <c r="M440" s="12" t="s">
        <v>1972</v>
      </c>
      <c r="N440" t="s">
        <v>1578</v>
      </c>
      <c r="O440" t="str">
        <f t="shared" si="52"/>
        <v>1.A</v>
      </c>
    </row>
    <row r="441" spans="3:15" x14ac:dyDescent="0.25">
      <c r="C441" s="9">
        <v>551</v>
      </c>
      <c r="D441" s="16">
        <v>5944</v>
      </c>
      <c r="E441" s="10" t="str">
        <f t="shared" si="53"/>
        <v>5944</v>
      </c>
      <c r="F441" s="10" t="str">
        <f t="shared" si="54"/>
        <v>594</v>
      </c>
      <c r="G441" s="10">
        <f t="shared" si="47"/>
        <v>0</v>
      </c>
      <c r="H441" s="10" t="b">
        <f>IF(ISERROR(VLOOKUP(E441,cuentas_pyme!C:C,1,FALSE)),FALSE,TRUE)</f>
        <v>1</v>
      </c>
      <c r="I441" s="10" t="str">
        <f>VLOOKUP(D441,cuentas_balance!C:I,7,FALSE)</f>
        <v>1.A.2.3</v>
      </c>
      <c r="J441" s="11" t="str">
        <f t="shared" si="51"/>
        <v>1.A.2.3.5944</v>
      </c>
      <c r="K441" s="10" t="str">
        <f t="shared" si="55"/>
        <v>1.A.2.3</v>
      </c>
      <c r="L441" s="10" t="str">
        <f t="shared" si="50"/>
        <v>1.A.2.3</v>
      </c>
      <c r="M441" s="12" t="s">
        <v>1973</v>
      </c>
      <c r="N441" t="s">
        <v>1578</v>
      </c>
      <c r="O441" t="str">
        <f t="shared" si="52"/>
        <v>1.A</v>
      </c>
    </row>
    <row r="442" spans="3:15" x14ac:dyDescent="0.25">
      <c r="C442" s="9">
        <v>552</v>
      </c>
      <c r="D442" s="16">
        <v>5945</v>
      </c>
      <c r="E442" s="10" t="str">
        <f t="shared" si="53"/>
        <v>5945</v>
      </c>
      <c r="F442" s="10" t="str">
        <f t="shared" si="54"/>
        <v>594</v>
      </c>
      <c r="G442" s="10">
        <f t="shared" ref="G442:G505" si="56">IF(IFERROR(VLOOKUP(E442,F:F,1,FALSE),0)&lt;&gt;0,1,0)</f>
        <v>0</v>
      </c>
      <c r="H442" s="10" t="b">
        <f>IF(ISERROR(VLOOKUP(E442,cuentas_pyme!C:C,1,FALSE)),FALSE,TRUE)</f>
        <v>1</v>
      </c>
      <c r="I442" s="10" t="str">
        <f>VLOOKUP(D442,cuentas_balance!C:I,7,FALSE)</f>
        <v>1.A.2.4</v>
      </c>
      <c r="J442" s="11" t="str">
        <f t="shared" si="51"/>
        <v>1.A.2.4.5945</v>
      </c>
      <c r="K442" s="10" t="str">
        <f t="shared" si="55"/>
        <v>1.A.2.4</v>
      </c>
      <c r="L442" s="10" t="str">
        <f t="shared" si="50"/>
        <v>1.A.2.4</v>
      </c>
      <c r="M442" s="12" t="s">
        <v>1974</v>
      </c>
      <c r="N442" t="s">
        <v>1578</v>
      </c>
      <c r="O442" t="str">
        <f t="shared" si="52"/>
        <v>1.A</v>
      </c>
    </row>
    <row r="443" spans="3:15" x14ac:dyDescent="0.25">
      <c r="C443" s="9">
        <v>554</v>
      </c>
      <c r="D443" s="16">
        <v>5953</v>
      </c>
      <c r="E443" s="10" t="str">
        <f t="shared" si="53"/>
        <v>5953</v>
      </c>
      <c r="F443" s="10" t="str">
        <f t="shared" si="54"/>
        <v>595</v>
      </c>
      <c r="G443" s="10">
        <f t="shared" si="56"/>
        <v>0</v>
      </c>
      <c r="H443" s="10" t="b">
        <f>IF(ISERROR(VLOOKUP(E443,cuentas_pyme!C:C,1,FALSE)),FALSE,TRUE)</f>
        <v>1</v>
      </c>
      <c r="I443" s="10" t="str">
        <f>VLOOKUP(D443,cuentas_balance!C:I,7,FALSE)</f>
        <v>1.A.2.3</v>
      </c>
      <c r="J443" s="11" t="str">
        <f t="shared" si="51"/>
        <v>1.A.2.3.5953</v>
      </c>
      <c r="K443" s="10" t="str">
        <f t="shared" si="55"/>
        <v>1.A.2.3</v>
      </c>
      <c r="L443" s="10" t="str">
        <f t="shared" si="50"/>
        <v>1.A.2.3</v>
      </c>
      <c r="M443" s="12" t="s">
        <v>1975</v>
      </c>
      <c r="N443" t="s">
        <v>1578</v>
      </c>
      <c r="O443" t="str">
        <f t="shared" si="52"/>
        <v>1.A</v>
      </c>
    </row>
    <row r="444" spans="3:15" x14ac:dyDescent="0.25">
      <c r="C444" s="9">
        <v>555</v>
      </c>
      <c r="D444" s="16">
        <v>5954</v>
      </c>
      <c r="E444" s="10" t="str">
        <f t="shared" si="53"/>
        <v>5954</v>
      </c>
      <c r="F444" s="10" t="str">
        <f t="shared" si="54"/>
        <v>595</v>
      </c>
      <c r="G444" s="10">
        <f t="shared" si="56"/>
        <v>0</v>
      </c>
      <c r="H444" s="10" t="b">
        <f>IF(ISERROR(VLOOKUP(E444,cuentas_pyme!C:C,1,FALSE)),FALSE,TRUE)</f>
        <v>1</v>
      </c>
      <c r="I444" s="10" t="str">
        <f>VLOOKUP(D444,cuentas_balance!C:I,7,FALSE)</f>
        <v>1.A.2.3</v>
      </c>
      <c r="J444" s="11" t="str">
        <f t="shared" si="51"/>
        <v>1.A.2.3.5954</v>
      </c>
      <c r="K444" s="10" t="str">
        <f t="shared" si="55"/>
        <v>1.A.2.3</v>
      </c>
      <c r="L444" s="10" t="str">
        <f t="shared" si="50"/>
        <v>1.A.2.3</v>
      </c>
      <c r="M444" s="12" t="s">
        <v>1976</v>
      </c>
      <c r="N444" t="s">
        <v>1578</v>
      </c>
      <c r="O444" t="str">
        <f t="shared" si="52"/>
        <v>1.A</v>
      </c>
    </row>
    <row r="445" spans="3:15" x14ac:dyDescent="0.25">
      <c r="C445" s="9">
        <v>556</v>
      </c>
      <c r="D445" s="16">
        <v>5955</v>
      </c>
      <c r="E445" s="10" t="str">
        <f t="shared" si="53"/>
        <v>5955</v>
      </c>
      <c r="F445" s="10" t="str">
        <f t="shared" si="54"/>
        <v>595</v>
      </c>
      <c r="G445" s="10">
        <f t="shared" si="56"/>
        <v>0</v>
      </c>
      <c r="H445" s="10" t="b">
        <f>IF(ISERROR(VLOOKUP(E445,cuentas_pyme!C:C,1,FALSE)),FALSE,TRUE)</f>
        <v>1</v>
      </c>
      <c r="I445" s="10" t="str">
        <f>VLOOKUP(D445,cuentas_balance!C:I,7,FALSE)</f>
        <v>1.A.2.4</v>
      </c>
      <c r="J445" s="11" t="str">
        <f t="shared" si="51"/>
        <v>1.A.2.4.5955</v>
      </c>
      <c r="K445" s="10" t="str">
        <f t="shared" si="55"/>
        <v>1.A.2.4</v>
      </c>
      <c r="L445" s="10" t="str">
        <f t="shared" si="50"/>
        <v>1.A.2.4</v>
      </c>
      <c r="M445" s="12" t="s">
        <v>1977</v>
      </c>
      <c r="N445" t="s">
        <v>1578</v>
      </c>
      <c r="O445" t="str">
        <f t="shared" si="52"/>
        <v>1.A</v>
      </c>
    </row>
    <row r="446" spans="3:15" x14ac:dyDescent="0.25">
      <c r="C446" s="9">
        <v>557</v>
      </c>
      <c r="D446" s="16">
        <v>597</v>
      </c>
      <c r="E446" s="10" t="str">
        <f t="shared" si="53"/>
        <v>597</v>
      </c>
      <c r="F446" s="10" t="str">
        <f t="shared" si="54"/>
        <v>59</v>
      </c>
      <c r="G446" s="10">
        <f t="shared" si="56"/>
        <v>0</v>
      </c>
      <c r="H446" s="10" t="b">
        <f>IF(ISERROR(VLOOKUP(E446,cuentas_pyme!C:C,1,FALSE)),FALSE,TRUE)</f>
        <v>1</v>
      </c>
      <c r="I446" s="10" t="str">
        <f>VLOOKUP(D446,cuentas_balance!C:I,7,FALSE)</f>
        <v>1.A.2.4</v>
      </c>
      <c r="J446" s="11" t="str">
        <f t="shared" si="51"/>
        <v>1.A.2.4.597</v>
      </c>
      <c r="K446" s="10" t="str">
        <f t="shared" si="55"/>
        <v>1.A.2.4</v>
      </c>
      <c r="L446" s="10" t="str">
        <f t="shared" si="50"/>
        <v>1.A.2.4</v>
      </c>
      <c r="M446" s="12" t="s">
        <v>1978</v>
      </c>
      <c r="N446" t="s">
        <v>1578</v>
      </c>
      <c r="O446" t="str">
        <f t="shared" si="52"/>
        <v>1.A</v>
      </c>
    </row>
    <row r="447" spans="3:15" x14ac:dyDescent="0.25">
      <c r="C447" s="9">
        <v>558</v>
      </c>
      <c r="D447" s="16">
        <v>598</v>
      </c>
      <c r="E447" s="10" t="str">
        <f t="shared" si="53"/>
        <v>598</v>
      </c>
      <c r="F447" s="10" t="str">
        <f t="shared" si="54"/>
        <v>59</v>
      </c>
      <c r="G447" s="10">
        <f t="shared" si="56"/>
        <v>0</v>
      </c>
      <c r="H447" s="10" t="b">
        <f>IF(ISERROR(VLOOKUP(E447,cuentas_pyme!C:C,1,FALSE)),FALSE,TRUE)</f>
        <v>1</v>
      </c>
      <c r="I447" s="10" t="str">
        <f>VLOOKUP(D447,cuentas_balance!C:I,7,FALSE)</f>
        <v>1.A.2.4</v>
      </c>
      <c r="J447" s="11" t="str">
        <f t="shared" si="51"/>
        <v>1.A.2.4.598</v>
      </c>
      <c r="K447" s="10" t="str">
        <f t="shared" si="55"/>
        <v>1.A.2.4</v>
      </c>
      <c r="L447" s="10" t="str">
        <f t="shared" si="50"/>
        <v>1.A.2.4</v>
      </c>
      <c r="M447" s="12" t="s">
        <v>1979</v>
      </c>
      <c r="N447" t="s">
        <v>1578</v>
      </c>
      <c r="O447" t="str">
        <f t="shared" si="52"/>
        <v>1.A</v>
      </c>
    </row>
    <row r="448" spans="3:15" x14ac:dyDescent="0.25">
      <c r="C448" s="9">
        <v>566</v>
      </c>
      <c r="D448" s="16">
        <v>60</v>
      </c>
      <c r="E448" s="10" t="str">
        <f t="shared" si="53"/>
        <v>60</v>
      </c>
      <c r="F448" s="10" t="str">
        <f t="shared" si="54"/>
        <v>6</v>
      </c>
      <c r="G448" s="10">
        <f t="shared" si="56"/>
        <v>1</v>
      </c>
      <c r="H448" s="10" t="b">
        <f>IF(ISERROR(VLOOKUP(E448,cuentas_pyme!C:C,1,FALSE)),FALSE,TRUE)</f>
        <v>1</v>
      </c>
      <c r="I448" s="10"/>
      <c r="J448" s="11" t="s">
        <v>2273</v>
      </c>
      <c r="K448" s="10" t="s">
        <v>2268</v>
      </c>
      <c r="L448" s="10" t="str">
        <f t="shared" si="50"/>
        <v>5.G</v>
      </c>
      <c r="M448" s="12" t="s">
        <v>3081</v>
      </c>
      <c r="N448" t="s">
        <v>1585</v>
      </c>
      <c r="O448" t="str">
        <f t="shared" si="52"/>
        <v>5.G</v>
      </c>
    </row>
    <row r="449" spans="3:15" x14ac:dyDescent="0.25">
      <c r="C449" s="9">
        <v>567</v>
      </c>
      <c r="D449" s="16">
        <v>600</v>
      </c>
      <c r="E449" s="10" t="str">
        <f t="shared" si="53"/>
        <v>600</v>
      </c>
      <c r="F449" s="10" t="str">
        <f t="shared" si="54"/>
        <v>60</v>
      </c>
      <c r="G449" s="10">
        <f t="shared" si="56"/>
        <v>0</v>
      </c>
      <c r="H449" s="10" t="b">
        <f>IF(ISERROR(VLOOKUP(E449,cuentas_pyme!C:C,1,FALSE)),FALSE,TRUE)</f>
        <v>1</v>
      </c>
      <c r="I449" s="10"/>
      <c r="J449" s="11" t="s">
        <v>2334</v>
      </c>
      <c r="K449" s="10" t="str">
        <f>LEFT(J449,LEN(J449)-1)</f>
        <v>5.G.60</v>
      </c>
      <c r="L449" s="10" t="str">
        <f t="shared" si="50"/>
        <v>5.G.60</v>
      </c>
      <c r="M449" s="12" t="s">
        <v>1980</v>
      </c>
      <c r="N449" t="s">
        <v>1585</v>
      </c>
      <c r="O449" t="str">
        <f t="shared" si="52"/>
        <v>5.G</v>
      </c>
    </row>
    <row r="450" spans="3:15" x14ac:dyDescent="0.25">
      <c r="C450" s="9">
        <v>568</v>
      </c>
      <c r="D450" s="16">
        <v>601</v>
      </c>
      <c r="E450" s="10" t="str">
        <f t="shared" si="53"/>
        <v>601</v>
      </c>
      <c r="F450" s="10" t="str">
        <f t="shared" si="54"/>
        <v>60</v>
      </c>
      <c r="G450" s="10">
        <f t="shared" si="56"/>
        <v>0</v>
      </c>
      <c r="H450" s="10" t="b">
        <f>IF(ISERROR(VLOOKUP(E450,cuentas_pyme!C:C,1,FALSE)),FALSE,TRUE)</f>
        <v>1</v>
      </c>
      <c r="I450" s="10"/>
      <c r="J450" s="11" t="s">
        <v>2335</v>
      </c>
      <c r="K450" s="10" t="str">
        <f t="shared" ref="K450:K513" si="57">LEFT(J450,LEN(J450)-1)</f>
        <v>5.G.60</v>
      </c>
      <c r="L450" s="10" t="str">
        <f t="shared" si="50"/>
        <v>5.G.60</v>
      </c>
      <c r="M450" s="12" t="s">
        <v>1981</v>
      </c>
      <c r="N450" t="s">
        <v>1585</v>
      </c>
      <c r="O450" t="str">
        <f t="shared" si="52"/>
        <v>5.G</v>
      </c>
    </row>
    <row r="451" spans="3:15" x14ac:dyDescent="0.25">
      <c r="C451" s="9">
        <v>569</v>
      </c>
      <c r="D451" s="16">
        <v>602</v>
      </c>
      <c r="E451" s="10" t="str">
        <f t="shared" si="53"/>
        <v>602</v>
      </c>
      <c r="F451" s="10" t="str">
        <f t="shared" si="54"/>
        <v>60</v>
      </c>
      <c r="G451" s="10">
        <f t="shared" si="56"/>
        <v>0</v>
      </c>
      <c r="H451" s="10" t="b">
        <f>IF(ISERROR(VLOOKUP(E451,cuentas_pyme!C:C,1,FALSE)),FALSE,TRUE)</f>
        <v>1</v>
      </c>
      <c r="I451" s="10"/>
      <c r="J451" s="11" t="s">
        <v>2336</v>
      </c>
      <c r="K451" s="10" t="str">
        <f t="shared" si="57"/>
        <v>5.G.60</v>
      </c>
      <c r="L451" s="10" t="str">
        <f t="shared" si="50"/>
        <v>5.G.60</v>
      </c>
      <c r="M451" s="12" t="s">
        <v>1982</v>
      </c>
      <c r="N451" t="s">
        <v>1585</v>
      </c>
      <c r="O451" t="str">
        <f t="shared" si="52"/>
        <v>5.G</v>
      </c>
    </row>
    <row r="452" spans="3:15" x14ac:dyDescent="0.25">
      <c r="C452" s="9">
        <v>570</v>
      </c>
      <c r="D452" s="16">
        <v>606</v>
      </c>
      <c r="E452" s="10" t="str">
        <f t="shared" si="53"/>
        <v>606</v>
      </c>
      <c r="F452" s="10" t="str">
        <f t="shared" si="54"/>
        <v>60</v>
      </c>
      <c r="G452" s="10">
        <f t="shared" si="56"/>
        <v>1</v>
      </c>
      <c r="H452" s="10" t="b">
        <f>IF(ISERROR(VLOOKUP(E452,cuentas_pyme!C:C,1,FALSE)),FALSE,TRUE)</f>
        <v>1</v>
      </c>
      <c r="I452" s="10"/>
      <c r="J452" s="11" t="s">
        <v>2274</v>
      </c>
      <c r="K452" s="10" t="str">
        <f t="shared" si="57"/>
        <v>5.G.60</v>
      </c>
      <c r="L452" s="10" t="str">
        <f t="shared" si="50"/>
        <v>5.G.60</v>
      </c>
      <c r="M452" s="12" t="s">
        <v>1983</v>
      </c>
      <c r="N452" t="s">
        <v>1585</v>
      </c>
      <c r="O452" t="str">
        <f t="shared" si="52"/>
        <v>5.G</v>
      </c>
    </row>
    <row r="453" spans="3:15" x14ac:dyDescent="0.25">
      <c r="C453" s="9">
        <v>571</v>
      </c>
      <c r="D453" s="16">
        <v>6060</v>
      </c>
      <c r="E453" s="10" t="str">
        <f t="shared" si="53"/>
        <v>6060</v>
      </c>
      <c r="F453" s="10" t="str">
        <f t="shared" si="54"/>
        <v>606</v>
      </c>
      <c r="G453" s="10">
        <f t="shared" si="56"/>
        <v>0</v>
      </c>
      <c r="H453" s="10" t="b">
        <f>IF(ISERROR(VLOOKUP(E453,cuentas_pyme!C:C,1,FALSE)),FALSE,TRUE)</f>
        <v>1</v>
      </c>
      <c r="I453" s="10"/>
      <c r="J453" s="11" t="s">
        <v>2337</v>
      </c>
      <c r="K453" s="10" t="str">
        <f t="shared" si="57"/>
        <v>5.G.606</v>
      </c>
      <c r="L453" s="10" t="str">
        <f t="shared" si="50"/>
        <v>5.G.606</v>
      </c>
      <c r="M453" s="12" t="s">
        <v>1984</v>
      </c>
      <c r="N453" t="s">
        <v>1585</v>
      </c>
      <c r="O453" t="str">
        <f t="shared" si="52"/>
        <v>5.G</v>
      </c>
    </row>
    <row r="454" spans="3:15" x14ac:dyDescent="0.25">
      <c r="C454" s="9">
        <v>572</v>
      </c>
      <c r="D454" s="16">
        <v>6061</v>
      </c>
      <c r="E454" s="10" t="str">
        <f t="shared" si="53"/>
        <v>6061</v>
      </c>
      <c r="F454" s="10" t="str">
        <f t="shared" si="54"/>
        <v>606</v>
      </c>
      <c r="G454" s="10">
        <f t="shared" si="56"/>
        <v>0</v>
      </c>
      <c r="H454" s="10" t="b">
        <f>IF(ISERROR(VLOOKUP(E454,cuentas_pyme!C:C,1,FALSE)),FALSE,TRUE)</f>
        <v>1</v>
      </c>
      <c r="I454" s="10"/>
      <c r="J454" s="11" t="s">
        <v>2338</v>
      </c>
      <c r="K454" s="10" t="str">
        <f t="shared" si="57"/>
        <v>5.G.606</v>
      </c>
      <c r="L454" s="10" t="str">
        <f t="shared" si="50"/>
        <v>5.G.606</v>
      </c>
      <c r="M454" s="12" t="s">
        <v>1985</v>
      </c>
      <c r="N454" t="s">
        <v>1585</v>
      </c>
      <c r="O454" t="str">
        <f t="shared" si="52"/>
        <v>5.G</v>
      </c>
    </row>
    <row r="455" spans="3:15" x14ac:dyDescent="0.25">
      <c r="C455" s="9">
        <v>573</v>
      </c>
      <c r="D455" s="16">
        <v>6062</v>
      </c>
      <c r="E455" s="10" t="str">
        <f t="shared" si="53"/>
        <v>6062</v>
      </c>
      <c r="F455" s="10" t="str">
        <f t="shared" si="54"/>
        <v>606</v>
      </c>
      <c r="G455" s="10">
        <f t="shared" si="56"/>
        <v>0</v>
      </c>
      <c r="H455" s="10" t="b">
        <f>IF(ISERROR(VLOOKUP(E455,cuentas_pyme!C:C,1,FALSE)),FALSE,TRUE)</f>
        <v>1</v>
      </c>
      <c r="I455" s="10"/>
      <c r="J455" s="11" t="s">
        <v>2339</v>
      </c>
      <c r="K455" s="10" t="str">
        <f t="shared" si="57"/>
        <v>5.G.606</v>
      </c>
      <c r="L455" s="10" t="str">
        <f t="shared" si="50"/>
        <v>5.G.606</v>
      </c>
      <c r="M455" s="12" t="s">
        <v>1986</v>
      </c>
      <c r="N455" t="s">
        <v>1585</v>
      </c>
      <c r="O455" t="str">
        <f t="shared" ref="O455:O482" si="58">IFERROR(VLOOKUP(N455,$Q$4:$R$9,2,FALSE),"")</f>
        <v>5.G</v>
      </c>
    </row>
    <row r="456" spans="3:15" x14ac:dyDescent="0.25">
      <c r="C456" s="9">
        <v>574</v>
      </c>
      <c r="D456" s="16">
        <v>607</v>
      </c>
      <c r="E456" s="10" t="str">
        <f t="shared" si="53"/>
        <v>607</v>
      </c>
      <c r="F456" s="10" t="str">
        <f t="shared" si="54"/>
        <v>60</v>
      </c>
      <c r="G456" s="10">
        <f t="shared" si="56"/>
        <v>0</v>
      </c>
      <c r="H456" s="10" t="b">
        <f>IF(ISERROR(VLOOKUP(E456,cuentas_pyme!C:C,1,FALSE)),FALSE,TRUE)</f>
        <v>1</v>
      </c>
      <c r="I456" s="10"/>
      <c r="J456" s="11" t="s">
        <v>2340</v>
      </c>
      <c r="K456" s="10" t="str">
        <f t="shared" si="57"/>
        <v>5.G.60</v>
      </c>
      <c r="L456" s="10" t="str">
        <f t="shared" si="50"/>
        <v>5.G.60</v>
      </c>
      <c r="M456" s="12" t="s">
        <v>1987</v>
      </c>
      <c r="N456" t="s">
        <v>1585</v>
      </c>
      <c r="O456" t="str">
        <f t="shared" si="58"/>
        <v>5.G</v>
      </c>
    </row>
    <row r="457" spans="3:15" x14ac:dyDescent="0.25">
      <c r="C457" s="9">
        <v>575</v>
      </c>
      <c r="D457" s="16">
        <v>608</v>
      </c>
      <c r="E457" s="10" t="str">
        <f t="shared" si="53"/>
        <v>608</v>
      </c>
      <c r="F457" s="10" t="str">
        <f t="shared" si="54"/>
        <v>60</v>
      </c>
      <c r="G457" s="10">
        <f t="shared" si="56"/>
        <v>1</v>
      </c>
      <c r="H457" s="10" t="b">
        <f>IF(ISERROR(VLOOKUP(E457,cuentas_pyme!C:C,1,FALSE)),FALSE,TRUE)</f>
        <v>1</v>
      </c>
      <c r="I457" s="10"/>
      <c r="J457" s="11" t="s">
        <v>2275</v>
      </c>
      <c r="K457" s="10" t="str">
        <f t="shared" si="57"/>
        <v>5.G.60</v>
      </c>
      <c r="L457" s="10" t="str">
        <f t="shared" ref="L457:L520" si="59">VLOOKUP(K457,J:J,1,FALSE)</f>
        <v>5.G.60</v>
      </c>
      <c r="M457" s="12" t="s">
        <v>1988</v>
      </c>
      <c r="N457" t="s">
        <v>1585</v>
      </c>
      <c r="O457" t="str">
        <f t="shared" si="58"/>
        <v>5.G</v>
      </c>
    </row>
    <row r="458" spans="3:15" x14ac:dyDescent="0.25">
      <c r="C458" s="9">
        <v>576</v>
      </c>
      <c r="D458" s="16">
        <v>6080</v>
      </c>
      <c r="E458" s="10" t="str">
        <f t="shared" si="53"/>
        <v>6080</v>
      </c>
      <c r="F458" s="10" t="str">
        <f t="shared" si="54"/>
        <v>608</v>
      </c>
      <c r="G458" s="10">
        <f t="shared" si="56"/>
        <v>0</v>
      </c>
      <c r="H458" s="10" t="b">
        <f>IF(ISERROR(VLOOKUP(E458,cuentas_pyme!C:C,1,FALSE)),FALSE,TRUE)</f>
        <v>1</v>
      </c>
      <c r="I458" s="10"/>
      <c r="J458" s="11" t="s">
        <v>2341</v>
      </c>
      <c r="K458" s="10" t="str">
        <f t="shared" si="57"/>
        <v>5.G.608</v>
      </c>
      <c r="L458" s="10" t="str">
        <f t="shared" si="59"/>
        <v>5.G.608</v>
      </c>
      <c r="M458" s="12" t="s">
        <v>1989</v>
      </c>
      <c r="N458" t="s">
        <v>1585</v>
      </c>
      <c r="O458" t="str">
        <f t="shared" si="58"/>
        <v>5.G</v>
      </c>
    </row>
    <row r="459" spans="3:15" x14ac:dyDescent="0.25">
      <c r="C459" s="9">
        <v>577</v>
      </c>
      <c r="D459" s="16">
        <v>6081</v>
      </c>
      <c r="E459" s="10" t="str">
        <f t="shared" si="53"/>
        <v>6081</v>
      </c>
      <c r="F459" s="10" t="str">
        <f t="shared" si="54"/>
        <v>608</v>
      </c>
      <c r="G459" s="10">
        <f t="shared" si="56"/>
        <v>0</v>
      </c>
      <c r="H459" s="10" t="b">
        <f>IF(ISERROR(VLOOKUP(E459,cuentas_pyme!C:C,1,FALSE)),FALSE,TRUE)</f>
        <v>1</v>
      </c>
      <c r="I459" s="10"/>
      <c r="J459" s="11" t="s">
        <v>2342</v>
      </c>
      <c r="K459" s="10" t="str">
        <f t="shared" si="57"/>
        <v>5.G.608</v>
      </c>
      <c r="L459" s="10" t="str">
        <f t="shared" si="59"/>
        <v>5.G.608</v>
      </c>
      <c r="M459" s="12" t="s">
        <v>1990</v>
      </c>
      <c r="N459" t="s">
        <v>1585</v>
      </c>
      <c r="O459" t="str">
        <f t="shared" si="58"/>
        <v>5.G</v>
      </c>
    </row>
    <row r="460" spans="3:15" x14ac:dyDescent="0.25">
      <c r="C460" s="9">
        <v>578</v>
      </c>
      <c r="D460" s="16">
        <v>6082</v>
      </c>
      <c r="E460" s="10" t="str">
        <f t="shared" si="53"/>
        <v>6082</v>
      </c>
      <c r="F460" s="10" t="str">
        <f t="shared" si="54"/>
        <v>608</v>
      </c>
      <c r="G460" s="10">
        <f t="shared" si="56"/>
        <v>0</v>
      </c>
      <c r="H460" s="10" t="b">
        <f>IF(ISERROR(VLOOKUP(E460,cuentas_pyme!C:C,1,FALSE)),FALSE,TRUE)</f>
        <v>1</v>
      </c>
      <c r="I460" s="10"/>
      <c r="J460" s="11" t="s">
        <v>2343</v>
      </c>
      <c r="K460" s="10" t="str">
        <f t="shared" si="57"/>
        <v>5.G.608</v>
      </c>
      <c r="L460" s="10" t="str">
        <f t="shared" si="59"/>
        <v>5.G.608</v>
      </c>
      <c r="M460" s="12" t="s">
        <v>1991</v>
      </c>
      <c r="N460" t="s">
        <v>1585</v>
      </c>
      <c r="O460" t="str">
        <f t="shared" si="58"/>
        <v>5.G</v>
      </c>
    </row>
    <row r="461" spans="3:15" x14ac:dyDescent="0.25">
      <c r="C461" s="9">
        <v>579</v>
      </c>
      <c r="D461" s="16">
        <v>609</v>
      </c>
      <c r="E461" s="10" t="str">
        <f t="shared" si="53"/>
        <v>609</v>
      </c>
      <c r="F461" s="10" t="str">
        <f t="shared" si="54"/>
        <v>60</v>
      </c>
      <c r="G461" s="10">
        <f t="shared" si="56"/>
        <v>1</v>
      </c>
      <c r="H461" s="10" t="b">
        <f>IF(ISERROR(VLOOKUP(E461,cuentas_pyme!C:C,1,FALSE)),FALSE,TRUE)</f>
        <v>1</v>
      </c>
      <c r="I461" s="10"/>
      <c r="J461" s="11" t="s">
        <v>2276</v>
      </c>
      <c r="K461" s="10" t="str">
        <f t="shared" si="57"/>
        <v>5.G.60</v>
      </c>
      <c r="L461" s="10" t="str">
        <f t="shared" si="59"/>
        <v>5.G.60</v>
      </c>
      <c r="M461" s="12" t="s">
        <v>1992</v>
      </c>
      <c r="N461" t="s">
        <v>1585</v>
      </c>
      <c r="O461" t="str">
        <f t="shared" si="58"/>
        <v>5.G</v>
      </c>
    </row>
    <row r="462" spans="3:15" x14ac:dyDescent="0.25">
      <c r="C462" s="9">
        <v>580</v>
      </c>
      <c r="D462" s="16">
        <v>6090</v>
      </c>
      <c r="E462" s="10" t="str">
        <f t="shared" si="53"/>
        <v>6090</v>
      </c>
      <c r="F462" s="10" t="str">
        <f t="shared" si="54"/>
        <v>609</v>
      </c>
      <c r="G462" s="10">
        <f t="shared" si="56"/>
        <v>0</v>
      </c>
      <c r="H462" s="10" t="b">
        <f>IF(ISERROR(VLOOKUP(E462,cuentas_pyme!C:C,1,FALSE)),FALSE,TRUE)</f>
        <v>1</v>
      </c>
      <c r="I462" s="10"/>
      <c r="J462" s="11" t="s">
        <v>2344</v>
      </c>
      <c r="K462" s="10" t="str">
        <f t="shared" si="57"/>
        <v>5.G.609</v>
      </c>
      <c r="L462" s="10" t="str">
        <f t="shared" si="59"/>
        <v>5.G.609</v>
      </c>
      <c r="M462" s="12" t="s">
        <v>1993</v>
      </c>
      <c r="N462" t="s">
        <v>1585</v>
      </c>
      <c r="O462" t="str">
        <f t="shared" si="58"/>
        <v>5.G</v>
      </c>
    </row>
    <row r="463" spans="3:15" x14ac:dyDescent="0.25">
      <c r="C463" s="9">
        <v>581</v>
      </c>
      <c r="D463" s="16">
        <v>6091</v>
      </c>
      <c r="E463" s="10" t="str">
        <f t="shared" si="53"/>
        <v>6091</v>
      </c>
      <c r="F463" s="10" t="str">
        <f t="shared" si="54"/>
        <v>609</v>
      </c>
      <c r="G463" s="10">
        <f t="shared" si="56"/>
        <v>0</v>
      </c>
      <c r="H463" s="10" t="b">
        <f>IF(ISERROR(VLOOKUP(E463,cuentas_pyme!C:C,1,FALSE)),FALSE,TRUE)</f>
        <v>1</v>
      </c>
      <c r="I463" s="10"/>
      <c r="J463" s="11" t="s">
        <v>2345</v>
      </c>
      <c r="K463" s="10" t="str">
        <f t="shared" si="57"/>
        <v>5.G.609</v>
      </c>
      <c r="L463" s="10" t="str">
        <f t="shared" si="59"/>
        <v>5.G.609</v>
      </c>
      <c r="M463" s="12" t="s">
        <v>1994</v>
      </c>
      <c r="N463" t="s">
        <v>1585</v>
      </c>
      <c r="O463" t="str">
        <f t="shared" si="58"/>
        <v>5.G</v>
      </c>
    </row>
    <row r="464" spans="3:15" x14ac:dyDescent="0.25">
      <c r="C464" s="9">
        <v>582</v>
      </c>
      <c r="D464" s="16">
        <v>6092</v>
      </c>
      <c r="E464" s="10" t="str">
        <f t="shared" si="53"/>
        <v>6092</v>
      </c>
      <c r="F464" s="10" t="str">
        <f t="shared" si="54"/>
        <v>609</v>
      </c>
      <c r="G464" s="10">
        <f t="shared" si="56"/>
        <v>0</v>
      </c>
      <c r="H464" s="10" t="b">
        <f>IF(ISERROR(VLOOKUP(E464,cuentas_pyme!C:C,1,FALSE)),FALSE,TRUE)</f>
        <v>1</v>
      </c>
      <c r="I464" s="10"/>
      <c r="J464" s="11" t="s">
        <v>2346</v>
      </c>
      <c r="K464" s="10" t="str">
        <f t="shared" si="57"/>
        <v>5.G.609</v>
      </c>
      <c r="L464" s="10" t="str">
        <f t="shared" si="59"/>
        <v>5.G.609</v>
      </c>
      <c r="M464" s="12" t="s">
        <v>1995</v>
      </c>
      <c r="N464" t="s">
        <v>1585</v>
      </c>
      <c r="O464" t="str">
        <f t="shared" si="58"/>
        <v>5.G</v>
      </c>
    </row>
    <row r="465" spans="3:15" x14ac:dyDescent="0.25">
      <c r="C465" s="9">
        <v>583</v>
      </c>
      <c r="D465" s="16">
        <v>61</v>
      </c>
      <c r="E465" s="10" t="str">
        <f t="shared" si="53"/>
        <v>61</v>
      </c>
      <c r="F465" s="10" t="str">
        <f t="shared" si="54"/>
        <v>6</v>
      </c>
      <c r="G465" s="10">
        <f t="shared" si="56"/>
        <v>1</v>
      </c>
      <c r="H465" s="10" t="b">
        <f>IF(ISERROR(VLOOKUP(E465,cuentas_pyme!C:C,1,FALSE)),FALSE,TRUE)</f>
        <v>1</v>
      </c>
      <c r="I465" s="10"/>
      <c r="J465" s="11" t="s">
        <v>2277</v>
      </c>
      <c r="K465" s="10" t="s">
        <v>2268</v>
      </c>
      <c r="L465" s="10" t="str">
        <f t="shared" si="59"/>
        <v>5.G</v>
      </c>
      <c r="M465" s="12" t="s">
        <v>3066</v>
      </c>
      <c r="N465" t="s">
        <v>1585</v>
      </c>
      <c r="O465" t="str">
        <f t="shared" si="58"/>
        <v>5.G</v>
      </c>
    </row>
    <row r="466" spans="3:15" x14ac:dyDescent="0.25">
      <c r="C466" s="9">
        <v>584</v>
      </c>
      <c r="D466" s="16">
        <v>610</v>
      </c>
      <c r="E466" s="10" t="str">
        <f t="shared" si="53"/>
        <v>610</v>
      </c>
      <c r="F466" s="10" t="str">
        <f t="shared" si="54"/>
        <v>61</v>
      </c>
      <c r="G466" s="10">
        <f t="shared" si="56"/>
        <v>0</v>
      </c>
      <c r="H466" s="10" t="b">
        <f>IF(ISERROR(VLOOKUP(E466,cuentas_pyme!C:C,1,FALSE)),FALSE,TRUE)</f>
        <v>1</v>
      </c>
      <c r="I466" s="10"/>
      <c r="J466" s="11" t="s">
        <v>2347</v>
      </c>
      <c r="K466" s="10" t="str">
        <f t="shared" si="57"/>
        <v>5.G.61</v>
      </c>
      <c r="L466" s="10" t="str">
        <f t="shared" si="59"/>
        <v>5.G.61</v>
      </c>
      <c r="M466" s="12" t="s">
        <v>1996</v>
      </c>
      <c r="N466" t="s">
        <v>1585</v>
      </c>
      <c r="O466" t="str">
        <f t="shared" si="58"/>
        <v>5.G</v>
      </c>
    </row>
    <row r="467" spans="3:15" x14ac:dyDescent="0.25">
      <c r="C467" s="9">
        <v>585</v>
      </c>
      <c r="D467" s="16">
        <v>611</v>
      </c>
      <c r="E467" s="10" t="str">
        <f t="shared" si="53"/>
        <v>611</v>
      </c>
      <c r="F467" s="10" t="str">
        <f t="shared" si="54"/>
        <v>61</v>
      </c>
      <c r="G467" s="10">
        <f t="shared" si="56"/>
        <v>0</v>
      </c>
      <c r="H467" s="10" t="b">
        <f>IF(ISERROR(VLOOKUP(E467,cuentas_pyme!C:C,1,FALSE)),FALSE,TRUE)</f>
        <v>1</v>
      </c>
      <c r="I467" s="10"/>
      <c r="J467" s="11" t="s">
        <v>2348</v>
      </c>
      <c r="K467" s="10" t="str">
        <f t="shared" si="57"/>
        <v>5.G.61</v>
      </c>
      <c r="L467" s="10" t="str">
        <f t="shared" si="59"/>
        <v>5.G.61</v>
      </c>
      <c r="M467" s="12" t="s">
        <v>1997</v>
      </c>
      <c r="N467" t="s">
        <v>1585</v>
      </c>
      <c r="O467" t="str">
        <f t="shared" si="58"/>
        <v>5.G</v>
      </c>
    </row>
    <row r="468" spans="3:15" x14ac:dyDescent="0.25">
      <c r="C468" s="9">
        <v>586</v>
      </c>
      <c r="D468" s="16">
        <v>612</v>
      </c>
      <c r="E468" s="10" t="str">
        <f t="shared" si="53"/>
        <v>612</v>
      </c>
      <c r="F468" s="10" t="str">
        <f t="shared" si="54"/>
        <v>61</v>
      </c>
      <c r="G468" s="10">
        <f t="shared" si="56"/>
        <v>0</v>
      </c>
      <c r="H468" s="10" t="b">
        <f>IF(ISERROR(VLOOKUP(E468,cuentas_pyme!C:C,1,FALSE)),FALSE,TRUE)</f>
        <v>1</v>
      </c>
      <c r="I468" s="10"/>
      <c r="J468" s="11" t="s">
        <v>2349</v>
      </c>
      <c r="K468" s="10" t="str">
        <f t="shared" si="57"/>
        <v>5.G.61</v>
      </c>
      <c r="L468" s="10" t="str">
        <f t="shared" si="59"/>
        <v>5.G.61</v>
      </c>
      <c r="M468" s="12" t="s">
        <v>1998</v>
      </c>
      <c r="N468" t="s">
        <v>1585</v>
      </c>
      <c r="O468" t="str">
        <f t="shared" si="58"/>
        <v>5.G</v>
      </c>
    </row>
    <row r="469" spans="3:15" x14ac:dyDescent="0.25">
      <c r="C469" s="9">
        <v>587</v>
      </c>
      <c r="D469" s="16">
        <v>62</v>
      </c>
      <c r="E469" s="10" t="str">
        <f t="shared" si="53"/>
        <v>62</v>
      </c>
      <c r="F469" s="10" t="str">
        <f t="shared" si="54"/>
        <v>6</v>
      </c>
      <c r="G469" s="10">
        <f t="shared" si="56"/>
        <v>1</v>
      </c>
      <c r="H469" s="10" t="b">
        <f>IF(ISERROR(VLOOKUP(E469,cuentas_pyme!C:C,1,FALSE)),FALSE,TRUE)</f>
        <v>1</v>
      </c>
      <c r="I469" s="10"/>
      <c r="J469" s="11" t="s">
        <v>2278</v>
      </c>
      <c r="K469" s="10" t="s">
        <v>2268</v>
      </c>
      <c r="L469" s="10" t="str">
        <f t="shared" si="59"/>
        <v>5.G</v>
      </c>
      <c r="M469" s="12" t="s">
        <v>3082</v>
      </c>
      <c r="N469" t="s">
        <v>1585</v>
      </c>
      <c r="O469" t="str">
        <f t="shared" si="58"/>
        <v>5.G</v>
      </c>
    </row>
    <row r="470" spans="3:15" x14ac:dyDescent="0.25">
      <c r="C470" s="9">
        <v>588</v>
      </c>
      <c r="D470" s="16">
        <v>620</v>
      </c>
      <c r="E470" s="10" t="str">
        <f t="shared" si="53"/>
        <v>620</v>
      </c>
      <c r="F470" s="10" t="str">
        <f t="shared" si="54"/>
        <v>62</v>
      </c>
      <c r="G470" s="10">
        <f t="shared" si="56"/>
        <v>0</v>
      </c>
      <c r="H470" s="10" t="b">
        <f>IF(ISERROR(VLOOKUP(E470,cuentas_pyme!C:C,1,FALSE)),FALSE,TRUE)</f>
        <v>1</v>
      </c>
      <c r="I470" s="10"/>
      <c r="J470" s="11" t="s">
        <v>2350</v>
      </c>
      <c r="K470" s="10" t="str">
        <f t="shared" si="57"/>
        <v>5.G.62</v>
      </c>
      <c r="L470" s="10" t="str">
        <f t="shared" si="59"/>
        <v>5.G.62</v>
      </c>
      <c r="M470" s="12" t="s">
        <v>1999</v>
      </c>
      <c r="N470" t="s">
        <v>1585</v>
      </c>
      <c r="O470" t="str">
        <f t="shared" si="58"/>
        <v>5.G</v>
      </c>
    </row>
    <row r="471" spans="3:15" x14ac:dyDescent="0.25">
      <c r="C471" s="9">
        <v>589</v>
      </c>
      <c r="D471" s="16">
        <v>621</v>
      </c>
      <c r="E471" s="10" t="str">
        <f t="shared" si="53"/>
        <v>621</v>
      </c>
      <c r="F471" s="10" t="str">
        <f t="shared" si="54"/>
        <v>62</v>
      </c>
      <c r="G471" s="10">
        <f t="shared" si="56"/>
        <v>0</v>
      </c>
      <c r="H471" s="10" t="b">
        <f>IF(ISERROR(VLOOKUP(E471,cuentas_pyme!C:C,1,FALSE)),FALSE,TRUE)</f>
        <v>1</v>
      </c>
      <c r="I471" s="10"/>
      <c r="J471" s="11" t="s">
        <v>2351</v>
      </c>
      <c r="K471" s="10" t="str">
        <f t="shared" si="57"/>
        <v>5.G.62</v>
      </c>
      <c r="L471" s="10" t="str">
        <f t="shared" si="59"/>
        <v>5.G.62</v>
      </c>
      <c r="M471" s="12" t="s">
        <v>2000</v>
      </c>
      <c r="N471" t="s">
        <v>1585</v>
      </c>
      <c r="O471" t="str">
        <f t="shared" si="58"/>
        <v>5.G</v>
      </c>
    </row>
    <row r="472" spans="3:15" x14ac:dyDescent="0.25">
      <c r="C472" s="9">
        <v>590</v>
      </c>
      <c r="D472" s="16">
        <v>622</v>
      </c>
      <c r="E472" s="10" t="str">
        <f t="shared" si="53"/>
        <v>622</v>
      </c>
      <c r="F472" s="10" t="str">
        <f t="shared" si="54"/>
        <v>62</v>
      </c>
      <c r="G472" s="10">
        <f t="shared" si="56"/>
        <v>0</v>
      </c>
      <c r="H472" s="10" t="b">
        <f>IF(ISERROR(VLOOKUP(E472,cuentas_pyme!C:C,1,FALSE)),FALSE,TRUE)</f>
        <v>1</v>
      </c>
      <c r="I472" s="10"/>
      <c r="J472" s="11" t="s">
        <v>2352</v>
      </c>
      <c r="K472" s="10" t="str">
        <f t="shared" si="57"/>
        <v>5.G.62</v>
      </c>
      <c r="L472" s="10" t="str">
        <f t="shared" si="59"/>
        <v>5.G.62</v>
      </c>
      <c r="M472" s="12" t="s">
        <v>2001</v>
      </c>
      <c r="N472" t="s">
        <v>1585</v>
      </c>
      <c r="O472" t="str">
        <f t="shared" si="58"/>
        <v>5.G</v>
      </c>
    </row>
    <row r="473" spans="3:15" x14ac:dyDescent="0.25">
      <c r="C473" s="9">
        <v>591</v>
      </c>
      <c r="D473" s="16">
        <v>623</v>
      </c>
      <c r="E473" s="10" t="str">
        <f t="shared" si="53"/>
        <v>623</v>
      </c>
      <c r="F473" s="10" t="str">
        <f t="shared" si="54"/>
        <v>62</v>
      </c>
      <c r="G473" s="10">
        <f t="shared" si="56"/>
        <v>0</v>
      </c>
      <c r="H473" s="10" t="b">
        <f>IF(ISERROR(VLOOKUP(E473,cuentas_pyme!C:C,1,FALSE)),FALSE,TRUE)</f>
        <v>1</v>
      </c>
      <c r="I473" s="10"/>
      <c r="J473" s="11" t="s">
        <v>2353</v>
      </c>
      <c r="K473" s="10" t="str">
        <f t="shared" si="57"/>
        <v>5.G.62</v>
      </c>
      <c r="L473" s="10" t="str">
        <f t="shared" si="59"/>
        <v>5.G.62</v>
      </c>
      <c r="M473" s="12" t="s">
        <v>2002</v>
      </c>
      <c r="N473" t="s">
        <v>1585</v>
      </c>
      <c r="O473" t="str">
        <f t="shared" si="58"/>
        <v>5.G</v>
      </c>
    </row>
    <row r="474" spans="3:15" x14ac:dyDescent="0.25">
      <c r="C474" s="9">
        <v>592</v>
      </c>
      <c r="D474" s="16">
        <v>624</v>
      </c>
      <c r="E474" s="10" t="str">
        <f t="shared" si="53"/>
        <v>624</v>
      </c>
      <c r="F474" s="10" t="str">
        <f t="shared" si="54"/>
        <v>62</v>
      </c>
      <c r="G474" s="10">
        <f t="shared" si="56"/>
        <v>0</v>
      </c>
      <c r="H474" s="10" t="b">
        <f>IF(ISERROR(VLOOKUP(E474,cuentas_pyme!C:C,1,FALSE)),FALSE,TRUE)</f>
        <v>1</v>
      </c>
      <c r="I474" s="10"/>
      <c r="J474" s="11" t="s">
        <v>2354</v>
      </c>
      <c r="K474" s="10" t="str">
        <f t="shared" si="57"/>
        <v>5.G.62</v>
      </c>
      <c r="L474" s="10" t="str">
        <f t="shared" si="59"/>
        <v>5.G.62</v>
      </c>
      <c r="M474" s="12" t="s">
        <v>2003</v>
      </c>
      <c r="N474" t="s">
        <v>1585</v>
      </c>
      <c r="O474" t="str">
        <f t="shared" si="58"/>
        <v>5.G</v>
      </c>
    </row>
    <row r="475" spans="3:15" x14ac:dyDescent="0.25">
      <c r="C475" s="9">
        <v>593</v>
      </c>
      <c r="D475" s="16">
        <v>625</v>
      </c>
      <c r="E475" s="10" t="str">
        <f t="shared" si="53"/>
        <v>625</v>
      </c>
      <c r="F475" s="10" t="str">
        <f t="shared" si="54"/>
        <v>62</v>
      </c>
      <c r="G475" s="10">
        <f t="shared" si="56"/>
        <v>0</v>
      </c>
      <c r="H475" s="10" t="b">
        <f>IF(ISERROR(VLOOKUP(E475,cuentas_pyme!C:C,1,FALSE)),FALSE,TRUE)</f>
        <v>1</v>
      </c>
      <c r="I475" s="10"/>
      <c r="J475" s="11" t="s">
        <v>2355</v>
      </c>
      <c r="K475" s="10" t="str">
        <f t="shared" si="57"/>
        <v>5.G.62</v>
      </c>
      <c r="L475" s="10" t="str">
        <f t="shared" si="59"/>
        <v>5.G.62</v>
      </c>
      <c r="M475" s="12" t="s">
        <v>2004</v>
      </c>
      <c r="N475" t="s">
        <v>1585</v>
      </c>
      <c r="O475" t="str">
        <f t="shared" si="58"/>
        <v>5.G</v>
      </c>
    </row>
    <row r="476" spans="3:15" x14ac:dyDescent="0.25">
      <c r="C476" s="9">
        <v>594</v>
      </c>
      <c r="D476" s="16">
        <v>626</v>
      </c>
      <c r="E476" s="10" t="str">
        <f t="shared" si="53"/>
        <v>626</v>
      </c>
      <c r="F476" s="10" t="str">
        <f t="shared" si="54"/>
        <v>62</v>
      </c>
      <c r="G476" s="10">
        <f t="shared" si="56"/>
        <v>0</v>
      </c>
      <c r="H476" s="10" t="b">
        <f>IF(ISERROR(VLOOKUP(E476,cuentas_pyme!C:C,1,FALSE)),FALSE,TRUE)</f>
        <v>1</v>
      </c>
      <c r="I476" s="10"/>
      <c r="J476" s="11" t="s">
        <v>2356</v>
      </c>
      <c r="K476" s="10" t="str">
        <f t="shared" si="57"/>
        <v>5.G.62</v>
      </c>
      <c r="L476" s="10" t="str">
        <f t="shared" si="59"/>
        <v>5.G.62</v>
      </c>
      <c r="M476" s="12" t="s">
        <v>2005</v>
      </c>
      <c r="N476" t="s">
        <v>1585</v>
      </c>
      <c r="O476" t="str">
        <f t="shared" si="58"/>
        <v>5.G</v>
      </c>
    </row>
    <row r="477" spans="3:15" x14ac:dyDescent="0.25">
      <c r="C477" s="9">
        <v>595</v>
      </c>
      <c r="D477" s="16">
        <v>627</v>
      </c>
      <c r="E477" s="10" t="str">
        <f t="shared" si="53"/>
        <v>627</v>
      </c>
      <c r="F477" s="10" t="str">
        <f t="shared" si="54"/>
        <v>62</v>
      </c>
      <c r="G477" s="10">
        <f t="shared" si="56"/>
        <v>0</v>
      </c>
      <c r="H477" s="10" t="b">
        <f>IF(ISERROR(VLOOKUP(E477,cuentas_pyme!C:C,1,FALSE)),FALSE,TRUE)</f>
        <v>1</v>
      </c>
      <c r="I477" s="10"/>
      <c r="J477" s="11" t="s">
        <v>2357</v>
      </c>
      <c r="K477" s="10" t="str">
        <f t="shared" si="57"/>
        <v>5.G.62</v>
      </c>
      <c r="L477" s="10" t="str">
        <f t="shared" si="59"/>
        <v>5.G.62</v>
      </c>
      <c r="M477" s="12" t="s">
        <v>2006</v>
      </c>
      <c r="N477" t="s">
        <v>1585</v>
      </c>
      <c r="O477" t="str">
        <f t="shared" si="58"/>
        <v>5.G</v>
      </c>
    </row>
    <row r="478" spans="3:15" x14ac:dyDescent="0.25">
      <c r="C478" s="9">
        <v>596</v>
      </c>
      <c r="D478" s="16">
        <v>628</v>
      </c>
      <c r="E478" s="10" t="str">
        <f t="shared" si="53"/>
        <v>628</v>
      </c>
      <c r="F478" s="10" t="str">
        <f t="shared" si="54"/>
        <v>62</v>
      </c>
      <c r="G478" s="10">
        <f t="shared" si="56"/>
        <v>0</v>
      </c>
      <c r="H478" s="10" t="b">
        <f>IF(ISERROR(VLOOKUP(E478,cuentas_pyme!C:C,1,FALSE)),FALSE,TRUE)</f>
        <v>1</v>
      </c>
      <c r="I478" s="10"/>
      <c r="J478" s="11" t="s">
        <v>2358</v>
      </c>
      <c r="K478" s="10" t="str">
        <f t="shared" si="57"/>
        <v>5.G.62</v>
      </c>
      <c r="L478" s="10" t="str">
        <f t="shared" si="59"/>
        <v>5.G.62</v>
      </c>
      <c r="M478" s="12" t="s">
        <v>2007</v>
      </c>
      <c r="N478" t="s">
        <v>1585</v>
      </c>
      <c r="O478" t="str">
        <f t="shared" si="58"/>
        <v>5.G</v>
      </c>
    </row>
    <row r="479" spans="3:15" x14ac:dyDescent="0.25">
      <c r="C479" s="9">
        <v>597</v>
      </c>
      <c r="D479" s="16">
        <v>629</v>
      </c>
      <c r="E479" s="10" t="str">
        <f t="shared" si="53"/>
        <v>629</v>
      </c>
      <c r="F479" s="10" t="str">
        <f t="shared" si="54"/>
        <v>62</v>
      </c>
      <c r="G479" s="10">
        <f t="shared" si="56"/>
        <v>0</v>
      </c>
      <c r="H479" s="10" t="b">
        <f>IF(ISERROR(VLOOKUP(E479,cuentas_pyme!C:C,1,FALSE)),FALSE,TRUE)</f>
        <v>1</v>
      </c>
      <c r="I479" s="10"/>
      <c r="J479" s="11" t="s">
        <v>2359</v>
      </c>
      <c r="K479" s="10" t="str">
        <f t="shared" si="57"/>
        <v>5.G.62</v>
      </c>
      <c r="L479" s="10" t="str">
        <f t="shared" si="59"/>
        <v>5.G.62</v>
      </c>
      <c r="M479" s="12" t="s">
        <v>2008</v>
      </c>
      <c r="N479" t="s">
        <v>1585</v>
      </c>
      <c r="O479" t="str">
        <f t="shared" si="58"/>
        <v>5.G</v>
      </c>
    </row>
    <row r="480" spans="3:15" x14ac:dyDescent="0.25">
      <c r="C480" s="9">
        <v>598</v>
      </c>
      <c r="D480" s="16">
        <v>63</v>
      </c>
      <c r="E480" s="10" t="str">
        <f t="shared" si="53"/>
        <v>63</v>
      </c>
      <c r="F480" s="10" t="str">
        <f t="shared" si="54"/>
        <v>6</v>
      </c>
      <c r="G480" s="10">
        <f t="shared" si="56"/>
        <v>1</v>
      </c>
      <c r="H480" s="10" t="b">
        <f>IF(ISERROR(VLOOKUP(E480,cuentas_pyme!C:C,1,FALSE)),FALSE,TRUE)</f>
        <v>1</v>
      </c>
      <c r="I480" s="10"/>
      <c r="J480" s="11" t="s">
        <v>2279</v>
      </c>
      <c r="K480" s="10" t="s">
        <v>2268</v>
      </c>
      <c r="L480" s="10" t="str">
        <f t="shared" si="59"/>
        <v>5.G</v>
      </c>
      <c r="M480" s="12" t="s">
        <v>3083</v>
      </c>
      <c r="N480" t="s">
        <v>1585</v>
      </c>
      <c r="O480" t="str">
        <f t="shared" si="58"/>
        <v>5.G</v>
      </c>
    </row>
    <row r="481" spans="3:15" x14ac:dyDescent="0.25">
      <c r="C481" s="9">
        <v>599</v>
      </c>
      <c r="D481" s="16">
        <v>630</v>
      </c>
      <c r="E481" s="10" t="str">
        <f t="shared" si="53"/>
        <v>630</v>
      </c>
      <c r="F481" s="10" t="str">
        <f t="shared" si="54"/>
        <v>63</v>
      </c>
      <c r="G481" s="10">
        <f t="shared" si="56"/>
        <v>1</v>
      </c>
      <c r="H481" s="10" t="b">
        <f>IF(ISERROR(VLOOKUP(E481,cuentas_pyme!C:C,1,FALSE)),FALSE,TRUE)</f>
        <v>1</v>
      </c>
      <c r="I481" s="10"/>
      <c r="J481" s="11" t="s">
        <v>2280</v>
      </c>
      <c r="K481" s="10" t="str">
        <f t="shared" si="57"/>
        <v>5.G.63</v>
      </c>
      <c r="L481" s="10" t="str">
        <f t="shared" si="59"/>
        <v>5.G.63</v>
      </c>
      <c r="M481" s="12" t="s">
        <v>2009</v>
      </c>
      <c r="N481" t="s">
        <v>1585</v>
      </c>
      <c r="O481" t="str">
        <f t="shared" si="58"/>
        <v>5.G</v>
      </c>
    </row>
    <row r="482" spans="3:15" x14ac:dyDescent="0.25">
      <c r="C482" s="9">
        <v>600</v>
      </c>
      <c r="D482" s="16">
        <v>6300</v>
      </c>
      <c r="E482" s="10" t="str">
        <f t="shared" ref="E482:E545" si="60">TEXT(D482,0)</f>
        <v>6300</v>
      </c>
      <c r="F482" s="10" t="str">
        <f t="shared" ref="F482:F545" si="61">LEFT(D482,LEN(D482)-1)</f>
        <v>630</v>
      </c>
      <c r="G482" s="10">
        <f t="shared" si="56"/>
        <v>0</v>
      </c>
      <c r="H482" s="10" t="b">
        <f>IF(ISERROR(VLOOKUP(E482,cuentas_pyme!C:C,1,FALSE)),FALSE,TRUE)</f>
        <v>1</v>
      </c>
      <c r="I482" s="10"/>
      <c r="J482" s="11" t="s">
        <v>2360</v>
      </c>
      <c r="K482" s="10" t="str">
        <f t="shared" si="57"/>
        <v>5.G.630</v>
      </c>
      <c r="L482" s="10" t="str">
        <f t="shared" si="59"/>
        <v>5.G.630</v>
      </c>
      <c r="M482" s="12" t="s">
        <v>2010</v>
      </c>
      <c r="N482" t="s">
        <v>1585</v>
      </c>
      <c r="O482" t="str">
        <f t="shared" si="58"/>
        <v>5.G</v>
      </c>
    </row>
    <row r="483" spans="3:15" x14ac:dyDescent="0.25">
      <c r="C483" s="9">
        <v>601</v>
      </c>
      <c r="D483" s="16">
        <v>6301</v>
      </c>
      <c r="E483" s="10" t="str">
        <f t="shared" si="60"/>
        <v>6301</v>
      </c>
      <c r="F483" s="10" t="str">
        <f t="shared" si="61"/>
        <v>630</v>
      </c>
      <c r="G483" s="10">
        <f t="shared" si="56"/>
        <v>0</v>
      </c>
      <c r="H483" s="10" t="b">
        <f>IF(ISERROR(VLOOKUP(E483,cuentas_pyme!C:C,1,FALSE)),FALSE,TRUE)</f>
        <v>1</v>
      </c>
      <c r="I483" s="10"/>
      <c r="J483" s="11" t="s">
        <v>2361</v>
      </c>
      <c r="K483" s="10" t="str">
        <f t="shared" si="57"/>
        <v>5.G.630</v>
      </c>
      <c r="L483" s="10" t="str">
        <f t="shared" si="59"/>
        <v>5.G.630</v>
      </c>
      <c r="M483" s="12" t="s">
        <v>2011</v>
      </c>
      <c r="N483" t="s">
        <v>1585</v>
      </c>
      <c r="O483" t="str">
        <f t="shared" ref="O483:O546" si="62">IFERROR(VLOOKUP(N483,$Q$4:$R$9,2,FALSE),"")</f>
        <v>5.G</v>
      </c>
    </row>
    <row r="484" spans="3:15" x14ac:dyDescent="0.25">
      <c r="C484" s="9">
        <v>602</v>
      </c>
      <c r="D484" s="16">
        <v>631</v>
      </c>
      <c r="E484" s="10" t="str">
        <f t="shared" si="60"/>
        <v>631</v>
      </c>
      <c r="F484" s="10" t="str">
        <f t="shared" si="61"/>
        <v>63</v>
      </c>
      <c r="G484" s="10">
        <f t="shared" si="56"/>
        <v>0</v>
      </c>
      <c r="H484" s="10" t="b">
        <f>IF(ISERROR(VLOOKUP(E484,cuentas_pyme!C:C,1,FALSE)),FALSE,TRUE)</f>
        <v>1</v>
      </c>
      <c r="I484" s="10"/>
      <c r="J484" s="11" t="s">
        <v>2362</v>
      </c>
      <c r="K484" s="10" t="str">
        <f t="shared" si="57"/>
        <v>5.G.63</v>
      </c>
      <c r="L484" s="10" t="str">
        <f t="shared" si="59"/>
        <v>5.G.63</v>
      </c>
      <c r="M484" s="12" t="s">
        <v>2012</v>
      </c>
      <c r="N484" t="s">
        <v>1585</v>
      </c>
      <c r="O484" t="str">
        <f t="shared" si="62"/>
        <v>5.G</v>
      </c>
    </row>
    <row r="485" spans="3:15" x14ac:dyDescent="0.25">
      <c r="C485" s="9">
        <v>603</v>
      </c>
      <c r="D485" s="16">
        <v>633</v>
      </c>
      <c r="E485" s="10" t="str">
        <f t="shared" si="60"/>
        <v>633</v>
      </c>
      <c r="F485" s="10" t="str">
        <f t="shared" si="61"/>
        <v>63</v>
      </c>
      <c r="G485" s="10">
        <f t="shared" si="56"/>
        <v>0</v>
      </c>
      <c r="H485" s="10" t="b">
        <f>IF(ISERROR(VLOOKUP(E485,cuentas_pyme!C:C,1,FALSE)),FALSE,TRUE)</f>
        <v>1</v>
      </c>
      <c r="I485" s="10"/>
      <c r="J485" s="11" t="s">
        <v>2363</v>
      </c>
      <c r="K485" s="10" t="str">
        <f t="shared" si="57"/>
        <v>5.G.63</v>
      </c>
      <c r="L485" s="10" t="str">
        <f t="shared" si="59"/>
        <v>5.G.63</v>
      </c>
      <c r="M485" s="12" t="s">
        <v>2013</v>
      </c>
      <c r="N485" t="s">
        <v>1585</v>
      </c>
      <c r="O485" t="str">
        <f t="shared" si="62"/>
        <v>5.G</v>
      </c>
    </row>
    <row r="486" spans="3:15" x14ac:dyDescent="0.25">
      <c r="C486" s="9">
        <v>604</v>
      </c>
      <c r="D486" s="16">
        <v>634</v>
      </c>
      <c r="E486" s="10" t="str">
        <f t="shared" si="60"/>
        <v>634</v>
      </c>
      <c r="F486" s="10" t="str">
        <f t="shared" si="61"/>
        <v>63</v>
      </c>
      <c r="G486" s="10">
        <f t="shared" si="56"/>
        <v>1</v>
      </c>
      <c r="H486" s="10" t="b">
        <f>IF(ISERROR(VLOOKUP(E486,cuentas_pyme!C:C,1,FALSE)),FALSE,TRUE)</f>
        <v>1</v>
      </c>
      <c r="I486" s="10"/>
      <c r="J486" s="11" t="s">
        <v>2281</v>
      </c>
      <c r="K486" s="10" t="str">
        <f t="shared" si="57"/>
        <v>5.G.63</v>
      </c>
      <c r="L486" s="10" t="str">
        <f t="shared" si="59"/>
        <v>5.G.63</v>
      </c>
      <c r="M486" s="12" t="s">
        <v>2014</v>
      </c>
      <c r="N486" t="s">
        <v>1585</v>
      </c>
      <c r="O486" t="str">
        <f t="shared" si="62"/>
        <v>5.G</v>
      </c>
    </row>
    <row r="487" spans="3:15" x14ac:dyDescent="0.25">
      <c r="C487" s="9">
        <v>605</v>
      </c>
      <c r="D487" s="16">
        <v>6341</v>
      </c>
      <c r="E487" s="10" t="str">
        <f t="shared" si="60"/>
        <v>6341</v>
      </c>
      <c r="F487" s="10" t="str">
        <f t="shared" si="61"/>
        <v>634</v>
      </c>
      <c r="G487" s="10">
        <f t="shared" si="56"/>
        <v>0</v>
      </c>
      <c r="H487" s="10" t="b">
        <f>IF(ISERROR(VLOOKUP(E487,cuentas_pyme!C:C,1,FALSE)),FALSE,TRUE)</f>
        <v>1</v>
      </c>
      <c r="I487" s="10"/>
      <c r="J487" s="11" t="s">
        <v>2364</v>
      </c>
      <c r="K487" s="10" t="str">
        <f t="shared" si="57"/>
        <v>5.G.634</v>
      </c>
      <c r="L487" s="10" t="str">
        <f t="shared" si="59"/>
        <v>5.G.634</v>
      </c>
      <c r="M487" s="12" t="s">
        <v>2015</v>
      </c>
      <c r="N487" t="s">
        <v>1585</v>
      </c>
      <c r="O487" t="str">
        <f t="shared" si="62"/>
        <v>5.G</v>
      </c>
    </row>
    <row r="488" spans="3:15" x14ac:dyDescent="0.25">
      <c r="C488" s="9">
        <v>606</v>
      </c>
      <c r="D488" s="16">
        <v>6342</v>
      </c>
      <c r="E488" s="10" t="str">
        <f t="shared" si="60"/>
        <v>6342</v>
      </c>
      <c r="F488" s="10" t="str">
        <f t="shared" si="61"/>
        <v>634</v>
      </c>
      <c r="G488" s="10">
        <f t="shared" si="56"/>
        <v>0</v>
      </c>
      <c r="H488" s="10" t="b">
        <f>IF(ISERROR(VLOOKUP(E488,cuentas_pyme!C:C,1,FALSE)),FALSE,TRUE)</f>
        <v>1</v>
      </c>
      <c r="I488" s="10"/>
      <c r="J488" s="11" t="s">
        <v>2365</v>
      </c>
      <c r="K488" s="10" t="str">
        <f t="shared" si="57"/>
        <v>5.G.634</v>
      </c>
      <c r="L488" s="10" t="str">
        <f t="shared" si="59"/>
        <v>5.G.634</v>
      </c>
      <c r="M488" s="12" t="s">
        <v>2016</v>
      </c>
      <c r="N488" t="s">
        <v>1585</v>
      </c>
      <c r="O488" t="str">
        <f t="shared" si="62"/>
        <v>5.G</v>
      </c>
    </row>
    <row r="489" spans="3:15" x14ac:dyDescent="0.25">
      <c r="C489" s="9">
        <v>607</v>
      </c>
      <c r="D489" s="16">
        <v>636</v>
      </c>
      <c r="E489" s="10" t="str">
        <f t="shared" si="60"/>
        <v>636</v>
      </c>
      <c r="F489" s="10" t="str">
        <f t="shared" si="61"/>
        <v>63</v>
      </c>
      <c r="G489" s="10">
        <f t="shared" si="56"/>
        <v>0</v>
      </c>
      <c r="H489" s="10" t="b">
        <f>IF(ISERROR(VLOOKUP(E489,cuentas_pyme!C:C,1,FALSE)),FALSE,TRUE)</f>
        <v>1</v>
      </c>
      <c r="I489" s="10"/>
      <c r="J489" s="11" t="s">
        <v>2366</v>
      </c>
      <c r="K489" s="10" t="str">
        <f t="shared" si="57"/>
        <v>5.G.63</v>
      </c>
      <c r="L489" s="10" t="str">
        <f t="shared" si="59"/>
        <v>5.G.63</v>
      </c>
      <c r="M489" s="12" t="s">
        <v>2017</v>
      </c>
      <c r="N489" t="s">
        <v>1585</v>
      </c>
      <c r="O489" t="str">
        <f t="shared" si="62"/>
        <v>5.G</v>
      </c>
    </row>
    <row r="490" spans="3:15" x14ac:dyDescent="0.25">
      <c r="C490" s="9">
        <v>608</v>
      </c>
      <c r="D490" s="16">
        <v>638</v>
      </c>
      <c r="E490" s="10" t="str">
        <f t="shared" si="60"/>
        <v>638</v>
      </c>
      <c r="F490" s="10" t="str">
        <f t="shared" si="61"/>
        <v>63</v>
      </c>
      <c r="G490" s="10">
        <f t="shared" si="56"/>
        <v>0</v>
      </c>
      <c r="H490" s="10" t="b">
        <f>IF(ISERROR(VLOOKUP(E490,cuentas_pyme!C:C,1,FALSE)),FALSE,TRUE)</f>
        <v>1</v>
      </c>
      <c r="I490" s="10"/>
      <c r="J490" s="11" t="s">
        <v>2367</v>
      </c>
      <c r="K490" s="10" t="str">
        <f t="shared" si="57"/>
        <v>5.G.63</v>
      </c>
      <c r="L490" s="10" t="str">
        <f t="shared" si="59"/>
        <v>5.G.63</v>
      </c>
      <c r="M490" s="12" t="s">
        <v>2018</v>
      </c>
      <c r="N490" t="s">
        <v>1585</v>
      </c>
      <c r="O490" t="str">
        <f t="shared" si="62"/>
        <v>5.G</v>
      </c>
    </row>
    <row r="491" spans="3:15" x14ac:dyDescent="0.25">
      <c r="C491" s="9">
        <v>609</v>
      </c>
      <c r="D491" s="16">
        <v>639</v>
      </c>
      <c r="E491" s="10" t="str">
        <f t="shared" si="60"/>
        <v>639</v>
      </c>
      <c r="F491" s="10" t="str">
        <f t="shared" si="61"/>
        <v>63</v>
      </c>
      <c r="G491" s="10">
        <f t="shared" si="56"/>
        <v>1</v>
      </c>
      <c r="H491" s="10" t="b">
        <f>IF(ISERROR(VLOOKUP(E491,cuentas_pyme!C:C,1,FALSE)),FALSE,TRUE)</f>
        <v>1</v>
      </c>
      <c r="I491" s="10"/>
      <c r="J491" s="11" t="s">
        <v>2282</v>
      </c>
      <c r="K491" s="10" t="str">
        <f t="shared" si="57"/>
        <v>5.G.63</v>
      </c>
      <c r="L491" s="10" t="str">
        <f t="shared" si="59"/>
        <v>5.G.63</v>
      </c>
      <c r="M491" s="12" t="s">
        <v>2019</v>
      </c>
      <c r="N491" t="s">
        <v>1585</v>
      </c>
      <c r="O491" t="str">
        <f t="shared" si="62"/>
        <v>5.G</v>
      </c>
    </row>
    <row r="492" spans="3:15" x14ac:dyDescent="0.25">
      <c r="C492" s="9">
        <v>610</v>
      </c>
      <c r="D492" s="16">
        <v>6391</v>
      </c>
      <c r="E492" s="10" t="str">
        <f t="shared" si="60"/>
        <v>6391</v>
      </c>
      <c r="F492" s="10" t="str">
        <f t="shared" si="61"/>
        <v>639</v>
      </c>
      <c r="G492" s="10">
        <f t="shared" si="56"/>
        <v>0</v>
      </c>
      <c r="H492" s="10" t="b">
        <f>IF(ISERROR(VLOOKUP(E492,cuentas_pyme!C:C,1,FALSE)),FALSE,TRUE)</f>
        <v>1</v>
      </c>
      <c r="I492" s="10"/>
      <c r="J492" s="11" t="s">
        <v>2368</v>
      </c>
      <c r="K492" s="10" t="str">
        <f t="shared" si="57"/>
        <v>5.G.639</v>
      </c>
      <c r="L492" s="10" t="str">
        <f t="shared" si="59"/>
        <v>5.G.639</v>
      </c>
      <c r="M492" s="12" t="s">
        <v>2020</v>
      </c>
      <c r="N492" t="s">
        <v>1585</v>
      </c>
      <c r="O492" t="str">
        <f t="shared" si="62"/>
        <v>5.G</v>
      </c>
    </row>
    <row r="493" spans="3:15" x14ac:dyDescent="0.25">
      <c r="C493" s="9">
        <v>611</v>
      </c>
      <c r="D493" s="16">
        <v>6392</v>
      </c>
      <c r="E493" s="10" t="str">
        <f t="shared" si="60"/>
        <v>6392</v>
      </c>
      <c r="F493" s="10" t="str">
        <f t="shared" si="61"/>
        <v>639</v>
      </c>
      <c r="G493" s="10">
        <f t="shared" si="56"/>
        <v>0</v>
      </c>
      <c r="H493" s="10" t="b">
        <f>IF(ISERROR(VLOOKUP(E493,cuentas_pyme!C:C,1,FALSE)),FALSE,TRUE)</f>
        <v>1</v>
      </c>
      <c r="I493" s="10"/>
      <c r="J493" s="11" t="s">
        <v>2369</v>
      </c>
      <c r="K493" s="10" t="str">
        <f t="shared" si="57"/>
        <v>5.G.639</v>
      </c>
      <c r="L493" s="10" t="str">
        <f t="shared" si="59"/>
        <v>5.G.639</v>
      </c>
      <c r="M493" s="12" t="s">
        <v>2021</v>
      </c>
      <c r="N493" t="s">
        <v>1585</v>
      </c>
      <c r="O493" t="str">
        <f t="shared" si="62"/>
        <v>5.G</v>
      </c>
    </row>
    <row r="494" spans="3:15" x14ac:dyDescent="0.25">
      <c r="C494" s="9">
        <v>612</v>
      </c>
      <c r="D494" s="16">
        <v>64</v>
      </c>
      <c r="E494" s="10" t="str">
        <f t="shared" si="60"/>
        <v>64</v>
      </c>
      <c r="F494" s="10" t="str">
        <f t="shared" si="61"/>
        <v>6</v>
      </c>
      <c r="G494" s="10">
        <f t="shared" si="56"/>
        <v>1</v>
      </c>
      <c r="H494" s="10" t="b">
        <f>IF(ISERROR(VLOOKUP(E494,cuentas_pyme!C:C,1,FALSE)),FALSE,TRUE)</f>
        <v>1</v>
      </c>
      <c r="I494" s="10"/>
      <c r="J494" s="11" t="s">
        <v>2283</v>
      </c>
      <c r="K494" s="10" t="s">
        <v>2268</v>
      </c>
      <c r="L494" s="10" t="str">
        <f t="shared" si="59"/>
        <v>5.G</v>
      </c>
      <c r="M494" s="12" t="s">
        <v>3084</v>
      </c>
      <c r="N494" t="s">
        <v>1585</v>
      </c>
      <c r="O494" t="str">
        <f t="shared" si="62"/>
        <v>5.G</v>
      </c>
    </row>
    <row r="495" spans="3:15" x14ac:dyDescent="0.25">
      <c r="C495" s="9">
        <v>613</v>
      </c>
      <c r="D495" s="16">
        <v>640</v>
      </c>
      <c r="E495" s="10" t="str">
        <f t="shared" si="60"/>
        <v>640</v>
      </c>
      <c r="F495" s="10" t="str">
        <f t="shared" si="61"/>
        <v>64</v>
      </c>
      <c r="G495" s="10">
        <f t="shared" si="56"/>
        <v>0</v>
      </c>
      <c r="H495" s="10" t="b">
        <f>IF(ISERROR(VLOOKUP(E495,cuentas_pyme!C:C,1,FALSE)),FALSE,TRUE)</f>
        <v>1</v>
      </c>
      <c r="I495" s="10"/>
      <c r="J495" s="11" t="s">
        <v>2370</v>
      </c>
      <c r="K495" s="10" t="str">
        <f t="shared" si="57"/>
        <v>5.G.64</v>
      </c>
      <c r="L495" s="10" t="str">
        <f t="shared" si="59"/>
        <v>5.G.64</v>
      </c>
      <c r="M495" s="12" t="s">
        <v>2022</v>
      </c>
      <c r="N495" t="s">
        <v>1585</v>
      </c>
      <c r="O495" t="str">
        <f t="shared" si="62"/>
        <v>5.G</v>
      </c>
    </row>
    <row r="496" spans="3:15" x14ac:dyDescent="0.25">
      <c r="C496" s="9">
        <v>614</v>
      </c>
      <c r="D496" s="16">
        <v>641</v>
      </c>
      <c r="E496" s="10" t="str">
        <f t="shared" si="60"/>
        <v>641</v>
      </c>
      <c r="F496" s="10" t="str">
        <f t="shared" si="61"/>
        <v>64</v>
      </c>
      <c r="G496" s="10">
        <f t="shared" si="56"/>
        <v>0</v>
      </c>
      <c r="H496" s="10" t="b">
        <f>IF(ISERROR(VLOOKUP(E496,cuentas_pyme!C:C,1,FALSE)),FALSE,TRUE)</f>
        <v>1</v>
      </c>
      <c r="I496" s="10"/>
      <c r="J496" s="11" t="s">
        <v>2371</v>
      </c>
      <c r="K496" s="10" t="str">
        <f t="shared" si="57"/>
        <v>5.G.64</v>
      </c>
      <c r="L496" s="10" t="str">
        <f t="shared" si="59"/>
        <v>5.G.64</v>
      </c>
      <c r="M496" s="12" t="s">
        <v>2023</v>
      </c>
      <c r="N496" t="s">
        <v>1585</v>
      </c>
      <c r="O496" t="str">
        <f t="shared" si="62"/>
        <v>5.G</v>
      </c>
    </row>
    <row r="497" spans="3:15" x14ac:dyDescent="0.25">
      <c r="C497" s="9">
        <v>615</v>
      </c>
      <c r="D497" s="16">
        <v>642</v>
      </c>
      <c r="E497" s="10" t="str">
        <f t="shared" si="60"/>
        <v>642</v>
      </c>
      <c r="F497" s="10" t="str">
        <f t="shared" si="61"/>
        <v>64</v>
      </c>
      <c r="G497" s="10">
        <f t="shared" si="56"/>
        <v>0</v>
      </c>
      <c r="H497" s="10" t="b">
        <f>IF(ISERROR(VLOOKUP(E497,cuentas_pyme!C:C,1,FALSE)),FALSE,TRUE)</f>
        <v>1</v>
      </c>
      <c r="I497" s="10"/>
      <c r="J497" s="11" t="s">
        <v>2372</v>
      </c>
      <c r="K497" s="10" t="str">
        <f t="shared" si="57"/>
        <v>5.G.64</v>
      </c>
      <c r="L497" s="10" t="str">
        <f t="shared" si="59"/>
        <v>5.G.64</v>
      </c>
      <c r="M497" s="12" t="s">
        <v>2024</v>
      </c>
      <c r="N497" t="s">
        <v>1585</v>
      </c>
      <c r="O497" t="str">
        <f t="shared" si="62"/>
        <v>5.G</v>
      </c>
    </row>
    <row r="498" spans="3:15" x14ac:dyDescent="0.25">
      <c r="C498" s="9">
        <v>623</v>
      </c>
      <c r="D498" s="16">
        <v>649</v>
      </c>
      <c r="E498" s="10" t="str">
        <f t="shared" si="60"/>
        <v>649</v>
      </c>
      <c r="F498" s="10" t="str">
        <f t="shared" si="61"/>
        <v>64</v>
      </c>
      <c r="G498" s="10">
        <f t="shared" si="56"/>
        <v>0</v>
      </c>
      <c r="H498" s="10" t="b">
        <f>IF(ISERROR(VLOOKUP(E498,cuentas_pyme!C:C,1,FALSE)),FALSE,TRUE)</f>
        <v>1</v>
      </c>
      <c r="I498" s="10"/>
      <c r="J498" s="11" t="s">
        <v>2373</v>
      </c>
      <c r="K498" s="10" t="str">
        <f t="shared" si="57"/>
        <v>5.G.64</v>
      </c>
      <c r="L498" s="10" t="str">
        <f t="shared" si="59"/>
        <v>5.G.64</v>
      </c>
      <c r="M498" s="12" t="s">
        <v>2025</v>
      </c>
      <c r="N498" t="s">
        <v>1585</v>
      </c>
      <c r="O498" t="str">
        <f t="shared" si="62"/>
        <v>5.G</v>
      </c>
    </row>
    <row r="499" spans="3:15" x14ac:dyDescent="0.25">
      <c r="C499" s="9">
        <v>624</v>
      </c>
      <c r="D499" s="16">
        <v>65</v>
      </c>
      <c r="E499" s="10" t="str">
        <f t="shared" si="60"/>
        <v>65</v>
      </c>
      <c r="F499" s="10" t="str">
        <f t="shared" si="61"/>
        <v>6</v>
      </c>
      <c r="G499" s="10">
        <f t="shared" si="56"/>
        <v>1</v>
      </c>
      <c r="H499" s="10" t="b">
        <f>IF(ISERROR(VLOOKUP(E499,cuentas_pyme!C:C,1,FALSE)),FALSE,TRUE)</f>
        <v>1</v>
      </c>
      <c r="I499" s="10"/>
      <c r="J499" s="11" t="s">
        <v>2284</v>
      </c>
      <c r="K499" s="10" t="s">
        <v>2268</v>
      </c>
      <c r="L499" s="10" t="str">
        <f t="shared" si="59"/>
        <v>5.G</v>
      </c>
      <c r="M499" s="12" t="s">
        <v>3062</v>
      </c>
      <c r="N499" t="s">
        <v>1585</v>
      </c>
      <c r="O499" t="str">
        <f t="shared" si="62"/>
        <v>5.G</v>
      </c>
    </row>
    <row r="500" spans="3:15" x14ac:dyDescent="0.25">
      <c r="C500" s="9">
        <v>625</v>
      </c>
      <c r="D500" s="16">
        <v>650</v>
      </c>
      <c r="E500" s="10" t="str">
        <f t="shared" si="60"/>
        <v>650</v>
      </c>
      <c r="F500" s="10" t="str">
        <f t="shared" si="61"/>
        <v>65</v>
      </c>
      <c r="G500" s="10">
        <f t="shared" si="56"/>
        <v>0</v>
      </c>
      <c r="H500" s="10" t="b">
        <f>IF(ISERROR(VLOOKUP(E500,cuentas_pyme!C:C,1,FALSE)),FALSE,TRUE)</f>
        <v>1</v>
      </c>
      <c r="I500" s="10"/>
      <c r="J500" s="11" t="s">
        <v>2374</v>
      </c>
      <c r="K500" s="10" t="str">
        <f t="shared" si="57"/>
        <v>5.G.65</v>
      </c>
      <c r="L500" s="10" t="str">
        <f t="shared" si="59"/>
        <v>5.G.65</v>
      </c>
      <c r="M500" s="12" t="s">
        <v>2026</v>
      </c>
      <c r="N500" t="s">
        <v>1585</v>
      </c>
      <c r="O500" t="str">
        <f t="shared" si="62"/>
        <v>5.G</v>
      </c>
    </row>
    <row r="501" spans="3:15" x14ac:dyDescent="0.25">
      <c r="C501" s="9">
        <v>626</v>
      </c>
      <c r="D501" s="16">
        <v>651</v>
      </c>
      <c r="E501" s="10" t="str">
        <f t="shared" si="60"/>
        <v>651</v>
      </c>
      <c r="F501" s="10" t="str">
        <f t="shared" si="61"/>
        <v>65</v>
      </c>
      <c r="G501" s="10">
        <f t="shared" si="56"/>
        <v>1</v>
      </c>
      <c r="H501" s="10" t="b">
        <f>IF(ISERROR(VLOOKUP(E501,cuentas_pyme!C:C,1,FALSE)),FALSE,TRUE)</f>
        <v>1</v>
      </c>
      <c r="I501" s="10"/>
      <c r="J501" s="11" t="s">
        <v>2285</v>
      </c>
      <c r="K501" s="10" t="str">
        <f t="shared" si="57"/>
        <v>5.G.65</v>
      </c>
      <c r="L501" s="10" t="str">
        <f t="shared" si="59"/>
        <v>5.G.65</v>
      </c>
      <c r="M501" s="12" t="s">
        <v>2027</v>
      </c>
      <c r="N501" t="s">
        <v>1585</v>
      </c>
      <c r="O501" t="str">
        <f t="shared" si="62"/>
        <v>5.G</v>
      </c>
    </row>
    <row r="502" spans="3:15" x14ac:dyDescent="0.25">
      <c r="C502" s="9">
        <v>627</v>
      </c>
      <c r="D502" s="16">
        <v>6510</v>
      </c>
      <c r="E502" s="10" t="str">
        <f t="shared" si="60"/>
        <v>6510</v>
      </c>
      <c r="F502" s="10" t="str">
        <f t="shared" si="61"/>
        <v>651</v>
      </c>
      <c r="G502" s="10">
        <f t="shared" si="56"/>
        <v>0</v>
      </c>
      <c r="H502" s="10" t="b">
        <f>IF(ISERROR(VLOOKUP(E502,cuentas_pyme!C:C,1,FALSE)),FALSE,TRUE)</f>
        <v>1</v>
      </c>
      <c r="I502" s="10"/>
      <c r="J502" s="11" t="s">
        <v>2375</v>
      </c>
      <c r="K502" s="10" t="str">
        <f t="shared" si="57"/>
        <v>5.G.651</v>
      </c>
      <c r="L502" s="10" t="str">
        <f t="shared" si="59"/>
        <v>5.G.651</v>
      </c>
      <c r="M502" s="12" t="s">
        <v>2028</v>
      </c>
      <c r="N502" t="s">
        <v>1585</v>
      </c>
      <c r="O502" t="str">
        <f t="shared" si="62"/>
        <v>5.G</v>
      </c>
    </row>
    <row r="503" spans="3:15" x14ac:dyDescent="0.25">
      <c r="C503" s="9">
        <v>628</v>
      </c>
      <c r="D503" s="16">
        <v>6511</v>
      </c>
      <c r="E503" s="10" t="str">
        <f t="shared" si="60"/>
        <v>6511</v>
      </c>
      <c r="F503" s="10" t="str">
        <f t="shared" si="61"/>
        <v>651</v>
      </c>
      <c r="G503" s="10">
        <f t="shared" si="56"/>
        <v>0</v>
      </c>
      <c r="H503" s="10" t="b">
        <f>IF(ISERROR(VLOOKUP(E503,cuentas_pyme!C:C,1,FALSE)),FALSE,TRUE)</f>
        <v>1</v>
      </c>
      <c r="I503" s="10"/>
      <c r="J503" s="11" t="s">
        <v>2376</v>
      </c>
      <c r="K503" s="10" t="str">
        <f t="shared" si="57"/>
        <v>5.G.651</v>
      </c>
      <c r="L503" s="10" t="str">
        <f t="shared" si="59"/>
        <v>5.G.651</v>
      </c>
      <c r="M503" s="12" t="s">
        <v>2029</v>
      </c>
      <c r="N503" t="s">
        <v>1585</v>
      </c>
      <c r="O503" t="str">
        <f t="shared" si="62"/>
        <v>5.G</v>
      </c>
    </row>
    <row r="504" spans="3:15" x14ac:dyDescent="0.25">
      <c r="C504" s="9">
        <v>629</v>
      </c>
      <c r="D504" s="16">
        <v>659</v>
      </c>
      <c r="E504" s="10" t="str">
        <f t="shared" si="60"/>
        <v>659</v>
      </c>
      <c r="F504" s="10" t="str">
        <f t="shared" si="61"/>
        <v>65</v>
      </c>
      <c r="G504" s="10">
        <f t="shared" si="56"/>
        <v>0</v>
      </c>
      <c r="H504" s="10" t="b">
        <f>IF(ISERROR(VLOOKUP(E504,cuentas_pyme!C:C,1,FALSE)),FALSE,TRUE)</f>
        <v>1</v>
      </c>
      <c r="I504" s="10"/>
      <c r="J504" s="11" t="s">
        <v>2377</v>
      </c>
      <c r="K504" s="10" t="str">
        <f t="shared" si="57"/>
        <v>5.G.65</v>
      </c>
      <c r="L504" s="10" t="str">
        <f t="shared" si="59"/>
        <v>5.G.65</v>
      </c>
      <c r="M504" s="12" t="s">
        <v>2030</v>
      </c>
      <c r="N504" t="s">
        <v>1585</v>
      </c>
      <c r="O504" t="str">
        <f t="shared" si="62"/>
        <v>5.G</v>
      </c>
    </row>
    <row r="505" spans="3:15" x14ac:dyDescent="0.25">
      <c r="C505" s="9">
        <v>630</v>
      </c>
      <c r="D505" s="16">
        <v>66</v>
      </c>
      <c r="E505" s="10" t="str">
        <f t="shared" si="60"/>
        <v>66</v>
      </c>
      <c r="F505" s="10" t="str">
        <f t="shared" si="61"/>
        <v>6</v>
      </c>
      <c r="G505" s="10">
        <f t="shared" si="56"/>
        <v>1</v>
      </c>
      <c r="H505" s="10" t="b">
        <f>IF(ISERROR(VLOOKUP(E505,cuentas_pyme!C:C,1,FALSE)),FALSE,TRUE)</f>
        <v>1</v>
      </c>
      <c r="I505" s="10"/>
      <c r="J505" s="11" t="s">
        <v>2286</v>
      </c>
      <c r="K505" s="10" t="s">
        <v>2268</v>
      </c>
      <c r="L505" s="10" t="str">
        <f t="shared" si="59"/>
        <v>5.G</v>
      </c>
      <c r="M505" s="12" t="s">
        <v>3085</v>
      </c>
      <c r="N505" t="s">
        <v>1585</v>
      </c>
      <c r="O505" t="str">
        <f t="shared" si="62"/>
        <v>5.G</v>
      </c>
    </row>
    <row r="506" spans="3:15" x14ac:dyDescent="0.25">
      <c r="C506" s="9">
        <v>631</v>
      </c>
      <c r="D506" s="16">
        <v>660</v>
      </c>
      <c r="E506" s="10" t="str">
        <f t="shared" si="60"/>
        <v>660</v>
      </c>
      <c r="F506" s="10" t="str">
        <f t="shared" si="61"/>
        <v>66</v>
      </c>
      <c r="G506" s="10">
        <f t="shared" ref="G506:G569" si="63">IF(IFERROR(VLOOKUP(E506,F:F,1,FALSE),0)&lt;&gt;0,1,0)</f>
        <v>0</v>
      </c>
      <c r="H506" s="10" t="b">
        <f>IF(ISERROR(VLOOKUP(E506,cuentas_pyme!C:C,1,FALSE)),FALSE,TRUE)</f>
        <v>1</v>
      </c>
      <c r="I506" s="10"/>
      <c r="J506" s="11" t="s">
        <v>2378</v>
      </c>
      <c r="K506" s="10" t="str">
        <f t="shared" si="57"/>
        <v>5.G.66</v>
      </c>
      <c r="L506" s="10" t="str">
        <f t="shared" si="59"/>
        <v>5.G.66</v>
      </c>
      <c r="M506" s="12" t="s">
        <v>2031</v>
      </c>
      <c r="N506" t="s">
        <v>1585</v>
      </c>
      <c r="O506" t="str">
        <f t="shared" si="62"/>
        <v>5.G</v>
      </c>
    </row>
    <row r="507" spans="3:15" x14ac:dyDescent="0.25">
      <c r="C507" s="9">
        <v>632</v>
      </c>
      <c r="D507" s="16">
        <v>661</v>
      </c>
      <c r="E507" s="10" t="str">
        <f t="shared" si="60"/>
        <v>661</v>
      </c>
      <c r="F507" s="10" t="str">
        <f t="shared" si="61"/>
        <v>66</v>
      </c>
      <c r="G507" s="10">
        <f t="shared" si="63"/>
        <v>1</v>
      </c>
      <c r="H507" s="10" t="b">
        <f>IF(ISERROR(VLOOKUP(E507,cuentas_pyme!C:C,1,FALSE)),FALSE,TRUE)</f>
        <v>1</v>
      </c>
      <c r="I507" s="10"/>
      <c r="J507" s="11" t="s">
        <v>2287</v>
      </c>
      <c r="K507" s="10" t="str">
        <f t="shared" si="57"/>
        <v>5.G.66</v>
      </c>
      <c r="L507" s="10" t="str">
        <f t="shared" si="59"/>
        <v>5.G.66</v>
      </c>
      <c r="M507" s="12" t="s">
        <v>2032</v>
      </c>
      <c r="N507" t="s">
        <v>1585</v>
      </c>
      <c r="O507" t="str">
        <f t="shared" si="62"/>
        <v>5.G</v>
      </c>
    </row>
    <row r="508" spans="3:15" x14ac:dyDescent="0.25">
      <c r="C508" s="9">
        <v>633</v>
      </c>
      <c r="D508" s="16">
        <v>6610</v>
      </c>
      <c r="E508" s="10" t="str">
        <f t="shared" si="60"/>
        <v>6610</v>
      </c>
      <c r="F508" s="10" t="str">
        <f t="shared" si="61"/>
        <v>661</v>
      </c>
      <c r="G508" s="10">
        <f t="shared" si="63"/>
        <v>0</v>
      </c>
      <c r="H508" s="10" t="b">
        <f>IF(ISERROR(VLOOKUP(E508,cuentas_pyme!C:C,1,FALSE)),FALSE,TRUE)</f>
        <v>1</v>
      </c>
      <c r="I508" s="10"/>
      <c r="J508" s="11" t="s">
        <v>2379</v>
      </c>
      <c r="K508" s="10" t="str">
        <f t="shared" si="57"/>
        <v>5.G.661</v>
      </c>
      <c r="L508" s="10" t="str">
        <f t="shared" si="59"/>
        <v>5.G.661</v>
      </c>
      <c r="M508" s="12" t="s">
        <v>2033</v>
      </c>
      <c r="N508" t="s">
        <v>1585</v>
      </c>
      <c r="O508" t="str">
        <f t="shared" si="62"/>
        <v>5.G</v>
      </c>
    </row>
    <row r="509" spans="3:15" x14ac:dyDescent="0.25">
      <c r="C509" s="9">
        <v>634</v>
      </c>
      <c r="D509" s="16">
        <v>6611</v>
      </c>
      <c r="E509" s="10" t="str">
        <f t="shared" si="60"/>
        <v>6611</v>
      </c>
      <c r="F509" s="10" t="str">
        <f t="shared" si="61"/>
        <v>661</v>
      </c>
      <c r="G509" s="10">
        <f t="shared" si="63"/>
        <v>0</v>
      </c>
      <c r="H509" s="10" t="b">
        <f>IF(ISERROR(VLOOKUP(E509,cuentas_pyme!C:C,1,FALSE)),FALSE,TRUE)</f>
        <v>1</v>
      </c>
      <c r="I509" s="10"/>
      <c r="J509" s="11" t="s">
        <v>2380</v>
      </c>
      <c r="K509" s="10" t="str">
        <f t="shared" si="57"/>
        <v>5.G.661</v>
      </c>
      <c r="L509" s="10" t="str">
        <f t="shared" si="59"/>
        <v>5.G.661</v>
      </c>
      <c r="M509" s="12" t="s">
        <v>2034</v>
      </c>
      <c r="N509" t="s">
        <v>1585</v>
      </c>
      <c r="O509" t="str">
        <f t="shared" si="62"/>
        <v>5.G</v>
      </c>
    </row>
    <row r="510" spans="3:15" x14ac:dyDescent="0.25">
      <c r="C510" s="9">
        <v>635</v>
      </c>
      <c r="D510" s="16">
        <v>6612</v>
      </c>
      <c r="E510" s="10" t="str">
        <f t="shared" si="60"/>
        <v>6612</v>
      </c>
      <c r="F510" s="10" t="str">
        <f t="shared" si="61"/>
        <v>661</v>
      </c>
      <c r="G510" s="10">
        <f t="shared" si="63"/>
        <v>0</v>
      </c>
      <c r="H510" s="10" t="b">
        <f>IF(ISERROR(VLOOKUP(E510,cuentas_pyme!C:C,1,FALSE)),FALSE,TRUE)</f>
        <v>1</v>
      </c>
      <c r="I510" s="10"/>
      <c r="J510" s="11" t="s">
        <v>2381</v>
      </c>
      <c r="K510" s="10" t="str">
        <f t="shared" si="57"/>
        <v>5.G.661</v>
      </c>
      <c r="L510" s="10" t="str">
        <f t="shared" si="59"/>
        <v>5.G.661</v>
      </c>
      <c r="M510" s="12" t="s">
        <v>2035</v>
      </c>
      <c r="N510" t="s">
        <v>1585</v>
      </c>
      <c r="O510" t="str">
        <f t="shared" si="62"/>
        <v>5.G</v>
      </c>
    </row>
    <row r="511" spans="3:15" x14ac:dyDescent="0.25">
      <c r="C511" s="9">
        <v>636</v>
      </c>
      <c r="D511" s="16">
        <v>6613</v>
      </c>
      <c r="E511" s="10" t="str">
        <f t="shared" si="60"/>
        <v>6613</v>
      </c>
      <c r="F511" s="10" t="str">
        <f t="shared" si="61"/>
        <v>661</v>
      </c>
      <c r="G511" s="10">
        <f t="shared" si="63"/>
        <v>0</v>
      </c>
      <c r="H511" s="10" t="b">
        <f>IF(ISERROR(VLOOKUP(E511,cuentas_pyme!C:C,1,FALSE)),FALSE,TRUE)</f>
        <v>1</v>
      </c>
      <c r="I511" s="10"/>
      <c r="J511" s="11" t="s">
        <v>2382</v>
      </c>
      <c r="K511" s="10" t="str">
        <f t="shared" si="57"/>
        <v>5.G.661</v>
      </c>
      <c r="L511" s="10" t="str">
        <f t="shared" si="59"/>
        <v>5.G.661</v>
      </c>
      <c r="M511" s="12" t="s">
        <v>2036</v>
      </c>
      <c r="N511" t="s">
        <v>1585</v>
      </c>
      <c r="O511" t="str">
        <f t="shared" si="62"/>
        <v>5.G</v>
      </c>
    </row>
    <row r="512" spans="3:15" x14ac:dyDescent="0.25">
      <c r="C512" s="9">
        <v>637</v>
      </c>
      <c r="D512" s="16">
        <v>6615</v>
      </c>
      <c r="E512" s="10" t="str">
        <f t="shared" si="60"/>
        <v>6615</v>
      </c>
      <c r="F512" s="10" t="str">
        <f t="shared" si="61"/>
        <v>661</v>
      </c>
      <c r="G512" s="10">
        <f t="shared" si="63"/>
        <v>0</v>
      </c>
      <c r="H512" s="10" t="b">
        <f>IF(ISERROR(VLOOKUP(E512,cuentas_pyme!C:C,1,FALSE)),FALSE,TRUE)</f>
        <v>1</v>
      </c>
      <c r="I512" s="10"/>
      <c r="J512" s="11" t="s">
        <v>2383</v>
      </c>
      <c r="K512" s="10" t="str">
        <f t="shared" si="57"/>
        <v>5.G.661</v>
      </c>
      <c r="L512" s="10" t="str">
        <f t="shared" si="59"/>
        <v>5.G.661</v>
      </c>
      <c r="M512" s="12" t="s">
        <v>2037</v>
      </c>
      <c r="N512" t="s">
        <v>1585</v>
      </c>
      <c r="O512" t="str">
        <f t="shared" si="62"/>
        <v>5.G</v>
      </c>
    </row>
    <row r="513" spans="3:15" x14ac:dyDescent="0.25">
      <c r="C513" s="9">
        <v>638</v>
      </c>
      <c r="D513" s="16">
        <v>6616</v>
      </c>
      <c r="E513" s="10" t="str">
        <f t="shared" si="60"/>
        <v>6616</v>
      </c>
      <c r="F513" s="10" t="str">
        <f t="shared" si="61"/>
        <v>661</v>
      </c>
      <c r="G513" s="10">
        <f t="shared" si="63"/>
        <v>0</v>
      </c>
      <c r="H513" s="10" t="b">
        <f>IF(ISERROR(VLOOKUP(E513,cuentas_pyme!C:C,1,FALSE)),FALSE,TRUE)</f>
        <v>1</v>
      </c>
      <c r="I513" s="10"/>
      <c r="J513" s="11" t="s">
        <v>2384</v>
      </c>
      <c r="K513" s="10" t="str">
        <f t="shared" si="57"/>
        <v>5.G.661</v>
      </c>
      <c r="L513" s="10" t="str">
        <f t="shared" si="59"/>
        <v>5.G.661</v>
      </c>
      <c r="M513" s="12" t="s">
        <v>2038</v>
      </c>
      <c r="N513" t="s">
        <v>1585</v>
      </c>
      <c r="O513" t="str">
        <f t="shared" si="62"/>
        <v>5.G</v>
      </c>
    </row>
    <row r="514" spans="3:15" x14ac:dyDescent="0.25">
      <c r="C514" s="9">
        <v>639</v>
      </c>
      <c r="D514" s="16">
        <v>6617</v>
      </c>
      <c r="E514" s="10" t="str">
        <f t="shared" si="60"/>
        <v>6617</v>
      </c>
      <c r="F514" s="10" t="str">
        <f t="shared" si="61"/>
        <v>661</v>
      </c>
      <c r="G514" s="10">
        <f t="shared" si="63"/>
        <v>0</v>
      </c>
      <c r="H514" s="10" t="b">
        <f>IF(ISERROR(VLOOKUP(E514,cuentas_pyme!C:C,1,FALSE)),FALSE,TRUE)</f>
        <v>1</v>
      </c>
      <c r="I514" s="10"/>
      <c r="J514" s="11" t="s">
        <v>2385</v>
      </c>
      <c r="K514" s="10" t="str">
        <f t="shared" ref="K514:K577" si="64">LEFT(J514,LEN(J514)-1)</f>
        <v>5.G.661</v>
      </c>
      <c r="L514" s="10" t="str">
        <f t="shared" si="59"/>
        <v>5.G.661</v>
      </c>
      <c r="M514" s="12" t="s">
        <v>2039</v>
      </c>
      <c r="N514" t="s">
        <v>1585</v>
      </c>
      <c r="O514" t="str">
        <f t="shared" si="62"/>
        <v>5.G</v>
      </c>
    </row>
    <row r="515" spans="3:15" x14ac:dyDescent="0.25">
      <c r="C515" s="9">
        <v>640</v>
      </c>
      <c r="D515" s="16">
        <v>6618</v>
      </c>
      <c r="E515" s="10" t="str">
        <f t="shared" si="60"/>
        <v>6618</v>
      </c>
      <c r="F515" s="10" t="str">
        <f t="shared" si="61"/>
        <v>661</v>
      </c>
      <c r="G515" s="10">
        <f t="shared" si="63"/>
        <v>0</v>
      </c>
      <c r="H515" s="10" t="b">
        <f>IF(ISERROR(VLOOKUP(E515,cuentas_pyme!C:C,1,FALSE)),FALSE,TRUE)</f>
        <v>1</v>
      </c>
      <c r="I515" s="10"/>
      <c r="J515" s="11" t="s">
        <v>2386</v>
      </c>
      <c r="K515" s="10" t="str">
        <f t="shared" si="64"/>
        <v>5.G.661</v>
      </c>
      <c r="L515" s="10" t="str">
        <f t="shared" si="59"/>
        <v>5.G.661</v>
      </c>
      <c r="M515" s="12" t="s">
        <v>2040</v>
      </c>
      <c r="N515" t="s">
        <v>1585</v>
      </c>
      <c r="O515" t="str">
        <f t="shared" si="62"/>
        <v>5.G</v>
      </c>
    </row>
    <row r="516" spans="3:15" x14ac:dyDescent="0.25">
      <c r="C516" s="9">
        <v>641</v>
      </c>
      <c r="D516" s="16">
        <v>662</v>
      </c>
      <c r="E516" s="10" t="str">
        <f t="shared" si="60"/>
        <v>662</v>
      </c>
      <c r="F516" s="10" t="str">
        <f t="shared" si="61"/>
        <v>66</v>
      </c>
      <c r="G516" s="10">
        <f t="shared" si="63"/>
        <v>1</v>
      </c>
      <c r="H516" s="10" t="b">
        <f>IF(ISERROR(VLOOKUP(E516,cuentas_pyme!C:C,1,FALSE)),FALSE,TRUE)</f>
        <v>1</v>
      </c>
      <c r="I516" s="10"/>
      <c r="J516" s="11" t="s">
        <v>2288</v>
      </c>
      <c r="K516" s="10" t="str">
        <f t="shared" si="64"/>
        <v>5.G.66</v>
      </c>
      <c r="L516" s="10" t="str">
        <f t="shared" si="59"/>
        <v>5.G.66</v>
      </c>
      <c r="M516" s="12" t="s">
        <v>2041</v>
      </c>
      <c r="N516" t="s">
        <v>1585</v>
      </c>
      <c r="O516" t="str">
        <f t="shared" si="62"/>
        <v>5.G</v>
      </c>
    </row>
    <row r="517" spans="3:15" x14ac:dyDescent="0.25">
      <c r="C517" s="9">
        <v>642</v>
      </c>
      <c r="D517" s="16">
        <v>6620</v>
      </c>
      <c r="E517" s="10" t="str">
        <f t="shared" si="60"/>
        <v>6620</v>
      </c>
      <c r="F517" s="10" t="str">
        <f t="shared" si="61"/>
        <v>662</v>
      </c>
      <c r="G517" s="10">
        <f t="shared" si="63"/>
        <v>0</v>
      </c>
      <c r="H517" s="10" t="b">
        <f>IF(ISERROR(VLOOKUP(E517,cuentas_pyme!C:C,1,FALSE)),FALSE,TRUE)</f>
        <v>1</v>
      </c>
      <c r="I517" s="10"/>
      <c r="J517" s="11" t="s">
        <v>2387</v>
      </c>
      <c r="K517" s="10" t="str">
        <f t="shared" si="64"/>
        <v>5.G.662</v>
      </c>
      <c r="L517" s="10" t="str">
        <f t="shared" si="59"/>
        <v>5.G.662</v>
      </c>
      <c r="M517" s="12" t="s">
        <v>2042</v>
      </c>
      <c r="N517" t="s">
        <v>1585</v>
      </c>
      <c r="O517" t="str">
        <f t="shared" si="62"/>
        <v>5.G</v>
      </c>
    </row>
    <row r="518" spans="3:15" x14ac:dyDescent="0.25">
      <c r="C518" s="9">
        <v>643</v>
      </c>
      <c r="D518" s="16">
        <v>6621</v>
      </c>
      <c r="E518" s="10" t="str">
        <f t="shared" si="60"/>
        <v>6621</v>
      </c>
      <c r="F518" s="10" t="str">
        <f t="shared" si="61"/>
        <v>662</v>
      </c>
      <c r="G518" s="10">
        <f t="shared" si="63"/>
        <v>0</v>
      </c>
      <c r="H518" s="10" t="b">
        <f>IF(ISERROR(VLOOKUP(E518,cuentas_pyme!C:C,1,FALSE)),FALSE,TRUE)</f>
        <v>1</v>
      </c>
      <c r="I518" s="10"/>
      <c r="J518" s="11" t="s">
        <v>2388</v>
      </c>
      <c r="K518" s="10" t="str">
        <f t="shared" si="64"/>
        <v>5.G.662</v>
      </c>
      <c r="L518" s="10" t="str">
        <f t="shared" si="59"/>
        <v>5.G.662</v>
      </c>
      <c r="M518" s="12" t="s">
        <v>2043</v>
      </c>
      <c r="N518" t="s">
        <v>1585</v>
      </c>
      <c r="O518" t="str">
        <f t="shared" si="62"/>
        <v>5.G</v>
      </c>
    </row>
    <row r="519" spans="3:15" x14ac:dyDescent="0.25">
      <c r="C519" s="9">
        <v>644</v>
      </c>
      <c r="D519" s="16">
        <v>6622</v>
      </c>
      <c r="E519" s="10" t="str">
        <f t="shared" si="60"/>
        <v>6622</v>
      </c>
      <c r="F519" s="10" t="str">
        <f t="shared" si="61"/>
        <v>662</v>
      </c>
      <c r="G519" s="10">
        <f t="shared" si="63"/>
        <v>0</v>
      </c>
      <c r="H519" s="10" t="b">
        <f>IF(ISERROR(VLOOKUP(E519,cuentas_pyme!C:C,1,FALSE)),FALSE,TRUE)</f>
        <v>1</v>
      </c>
      <c r="I519" s="10"/>
      <c r="J519" s="11" t="s">
        <v>2389</v>
      </c>
      <c r="K519" s="10" t="str">
        <f t="shared" si="64"/>
        <v>5.G.662</v>
      </c>
      <c r="L519" s="10" t="str">
        <f t="shared" si="59"/>
        <v>5.G.662</v>
      </c>
      <c r="M519" s="12" t="s">
        <v>2044</v>
      </c>
      <c r="N519" t="s">
        <v>1585</v>
      </c>
      <c r="O519" t="str">
        <f t="shared" si="62"/>
        <v>5.G</v>
      </c>
    </row>
    <row r="520" spans="3:15" x14ac:dyDescent="0.25">
      <c r="C520" s="9">
        <v>645</v>
      </c>
      <c r="D520" s="16">
        <v>6623</v>
      </c>
      <c r="E520" s="10" t="str">
        <f t="shared" si="60"/>
        <v>6623</v>
      </c>
      <c r="F520" s="10" t="str">
        <f t="shared" si="61"/>
        <v>662</v>
      </c>
      <c r="G520" s="10">
        <f t="shared" si="63"/>
        <v>0</v>
      </c>
      <c r="H520" s="10" t="b">
        <f>IF(ISERROR(VLOOKUP(E520,cuentas_pyme!C:C,1,FALSE)),FALSE,TRUE)</f>
        <v>1</v>
      </c>
      <c r="I520" s="10"/>
      <c r="J520" s="11" t="s">
        <v>2390</v>
      </c>
      <c r="K520" s="10" t="str">
        <f t="shared" si="64"/>
        <v>5.G.662</v>
      </c>
      <c r="L520" s="10" t="str">
        <f t="shared" si="59"/>
        <v>5.G.662</v>
      </c>
      <c r="M520" s="12" t="s">
        <v>2045</v>
      </c>
      <c r="N520" t="s">
        <v>1585</v>
      </c>
      <c r="O520" t="str">
        <f t="shared" si="62"/>
        <v>5.G</v>
      </c>
    </row>
    <row r="521" spans="3:15" x14ac:dyDescent="0.25">
      <c r="C521" s="9">
        <v>646</v>
      </c>
      <c r="D521" s="16">
        <v>6624</v>
      </c>
      <c r="E521" s="10" t="str">
        <f t="shared" si="60"/>
        <v>6624</v>
      </c>
      <c r="F521" s="10" t="str">
        <f t="shared" si="61"/>
        <v>662</v>
      </c>
      <c r="G521" s="10">
        <f t="shared" si="63"/>
        <v>0</v>
      </c>
      <c r="H521" s="10" t="b">
        <f>IF(ISERROR(VLOOKUP(E521,cuentas_pyme!C:C,1,FALSE)),FALSE,TRUE)</f>
        <v>1</v>
      </c>
      <c r="I521" s="10"/>
      <c r="J521" s="11" t="s">
        <v>2391</v>
      </c>
      <c r="K521" s="10" t="str">
        <f t="shared" si="64"/>
        <v>5.G.662</v>
      </c>
      <c r="L521" s="10" t="str">
        <f t="shared" ref="L521:L584" si="65">VLOOKUP(K521,J:J,1,FALSE)</f>
        <v>5.G.662</v>
      </c>
      <c r="M521" s="12" t="s">
        <v>2046</v>
      </c>
      <c r="N521" t="s">
        <v>1585</v>
      </c>
      <c r="O521" t="str">
        <f t="shared" si="62"/>
        <v>5.G</v>
      </c>
    </row>
    <row r="522" spans="3:15" x14ac:dyDescent="0.25">
      <c r="C522" s="9">
        <v>647</v>
      </c>
      <c r="D522" s="16">
        <v>663</v>
      </c>
      <c r="E522" s="10" t="str">
        <f t="shared" si="60"/>
        <v>663</v>
      </c>
      <c r="F522" s="10" t="str">
        <f t="shared" si="61"/>
        <v>66</v>
      </c>
      <c r="G522" s="10">
        <f t="shared" si="63"/>
        <v>0</v>
      </c>
      <c r="H522" s="10" t="b">
        <f>IF(ISERROR(VLOOKUP(E522,cuentas_pyme!C:C,1,FALSE)),FALSE,TRUE)</f>
        <v>1</v>
      </c>
      <c r="I522" s="10"/>
      <c r="J522" s="11" t="s">
        <v>2289</v>
      </c>
      <c r="K522" s="10" t="str">
        <f t="shared" si="64"/>
        <v>5.G.66</v>
      </c>
      <c r="L522" s="10" t="str">
        <f t="shared" si="65"/>
        <v>5.G.66</v>
      </c>
      <c r="M522" s="12" t="s">
        <v>2047</v>
      </c>
      <c r="N522" t="s">
        <v>1585</v>
      </c>
      <c r="O522" t="str">
        <f t="shared" si="62"/>
        <v>5.G</v>
      </c>
    </row>
    <row r="523" spans="3:15" x14ac:dyDescent="0.25">
      <c r="C523" s="9">
        <v>652</v>
      </c>
      <c r="D523" s="16">
        <v>664</v>
      </c>
      <c r="E523" s="10" t="str">
        <f t="shared" si="60"/>
        <v>664</v>
      </c>
      <c r="F523" s="10" t="str">
        <f t="shared" si="61"/>
        <v>66</v>
      </c>
      <c r="G523" s="10">
        <f t="shared" si="63"/>
        <v>1</v>
      </c>
      <c r="H523" s="10" t="b">
        <f>IF(ISERROR(VLOOKUP(E523,cuentas_pyme!C:C,1,FALSE)),FALSE,TRUE)</f>
        <v>1</v>
      </c>
      <c r="I523" s="10"/>
      <c r="J523" s="11" t="s">
        <v>2290</v>
      </c>
      <c r="K523" s="10" t="str">
        <f t="shared" si="64"/>
        <v>5.G.66</v>
      </c>
      <c r="L523" s="10" t="str">
        <f t="shared" si="65"/>
        <v>5.G.66</v>
      </c>
      <c r="M523" s="13" t="s">
        <v>2048</v>
      </c>
      <c r="N523" t="s">
        <v>1585</v>
      </c>
      <c r="O523" t="str">
        <f t="shared" si="62"/>
        <v>5.G</v>
      </c>
    </row>
    <row r="524" spans="3:15" x14ac:dyDescent="0.25">
      <c r="C524" s="9">
        <v>653</v>
      </c>
      <c r="D524" s="16">
        <v>6640</v>
      </c>
      <c r="E524" s="10" t="str">
        <f t="shared" si="60"/>
        <v>6640</v>
      </c>
      <c r="F524" s="10" t="str">
        <f t="shared" si="61"/>
        <v>664</v>
      </c>
      <c r="G524" s="10">
        <f t="shared" si="63"/>
        <v>0</v>
      </c>
      <c r="H524" s="10" t="b">
        <f>IF(ISERROR(VLOOKUP(E524,cuentas_pyme!C:C,1,FALSE)),FALSE,TRUE)</f>
        <v>1</v>
      </c>
      <c r="I524" s="10"/>
      <c r="J524" s="11" t="s">
        <v>2392</v>
      </c>
      <c r="K524" s="10" t="str">
        <f t="shared" si="64"/>
        <v>5.G.664</v>
      </c>
      <c r="L524" s="10" t="str">
        <f t="shared" si="65"/>
        <v>5.G.664</v>
      </c>
      <c r="M524" s="12" t="s">
        <v>2049</v>
      </c>
      <c r="N524" t="s">
        <v>1585</v>
      </c>
      <c r="O524" t="str">
        <f t="shared" si="62"/>
        <v>5.G</v>
      </c>
    </row>
    <row r="525" spans="3:15" x14ac:dyDescent="0.25">
      <c r="C525" s="9">
        <v>654</v>
      </c>
      <c r="D525" s="16">
        <v>6641</v>
      </c>
      <c r="E525" s="10" t="str">
        <f t="shared" si="60"/>
        <v>6641</v>
      </c>
      <c r="F525" s="10" t="str">
        <f t="shared" si="61"/>
        <v>664</v>
      </c>
      <c r="G525" s="10">
        <f t="shared" si="63"/>
        <v>0</v>
      </c>
      <c r="H525" s="10" t="b">
        <f>IF(ISERROR(VLOOKUP(E525,cuentas_pyme!C:C,1,FALSE)),FALSE,TRUE)</f>
        <v>1</v>
      </c>
      <c r="I525" s="10"/>
      <c r="J525" s="11" t="s">
        <v>2393</v>
      </c>
      <c r="K525" s="10" t="str">
        <f t="shared" si="64"/>
        <v>5.G.664</v>
      </c>
      <c r="L525" s="10" t="str">
        <f t="shared" si="65"/>
        <v>5.G.664</v>
      </c>
      <c r="M525" s="12" t="s">
        <v>2050</v>
      </c>
      <c r="N525" t="s">
        <v>1585</v>
      </c>
      <c r="O525" t="str">
        <f t="shared" si="62"/>
        <v>5.G</v>
      </c>
    </row>
    <row r="526" spans="3:15" x14ac:dyDescent="0.25">
      <c r="C526" s="9">
        <v>655</v>
      </c>
      <c r="D526" s="16">
        <v>6642</v>
      </c>
      <c r="E526" s="10" t="str">
        <f t="shared" si="60"/>
        <v>6642</v>
      </c>
      <c r="F526" s="10" t="str">
        <f t="shared" si="61"/>
        <v>664</v>
      </c>
      <c r="G526" s="10">
        <f t="shared" si="63"/>
        <v>0</v>
      </c>
      <c r="H526" s="10" t="b">
        <f>IF(ISERROR(VLOOKUP(E526,cuentas_pyme!C:C,1,FALSE)),FALSE,TRUE)</f>
        <v>1</v>
      </c>
      <c r="I526" s="10"/>
      <c r="J526" s="11" t="s">
        <v>2394</v>
      </c>
      <c r="K526" s="10" t="str">
        <f t="shared" si="64"/>
        <v>5.G.664</v>
      </c>
      <c r="L526" s="10" t="str">
        <f t="shared" si="65"/>
        <v>5.G.664</v>
      </c>
      <c r="M526" s="12" t="s">
        <v>2051</v>
      </c>
      <c r="N526" t="s">
        <v>1585</v>
      </c>
      <c r="O526" t="str">
        <f t="shared" si="62"/>
        <v>5.G</v>
      </c>
    </row>
    <row r="527" spans="3:15" x14ac:dyDescent="0.25">
      <c r="C527" s="9">
        <v>656</v>
      </c>
      <c r="D527" s="16">
        <v>6643</v>
      </c>
      <c r="E527" s="10" t="str">
        <f t="shared" si="60"/>
        <v>6643</v>
      </c>
      <c r="F527" s="10" t="str">
        <f t="shared" si="61"/>
        <v>664</v>
      </c>
      <c r="G527" s="10">
        <f t="shared" si="63"/>
        <v>0</v>
      </c>
      <c r="H527" s="10" t="b">
        <f>IF(ISERROR(VLOOKUP(E527,cuentas_pyme!C:C,1,FALSE)),FALSE,TRUE)</f>
        <v>1</v>
      </c>
      <c r="I527" s="10"/>
      <c r="J527" s="11" t="s">
        <v>2395</v>
      </c>
      <c r="K527" s="10" t="str">
        <f t="shared" si="64"/>
        <v>5.G.664</v>
      </c>
      <c r="L527" s="10" t="str">
        <f t="shared" si="65"/>
        <v>5.G.664</v>
      </c>
      <c r="M527" s="12" t="s">
        <v>2052</v>
      </c>
      <c r="N527" t="s">
        <v>1585</v>
      </c>
      <c r="O527" t="str">
        <f t="shared" si="62"/>
        <v>5.G</v>
      </c>
    </row>
    <row r="528" spans="3:15" x14ac:dyDescent="0.25">
      <c r="C528" s="9">
        <v>657</v>
      </c>
      <c r="D528" s="16">
        <v>665</v>
      </c>
      <c r="E528" s="10" t="str">
        <f t="shared" si="60"/>
        <v>665</v>
      </c>
      <c r="F528" s="10" t="str">
        <f t="shared" si="61"/>
        <v>66</v>
      </c>
      <c r="G528" s="10">
        <f t="shared" si="63"/>
        <v>1</v>
      </c>
      <c r="H528" s="10" t="b">
        <f>IF(ISERROR(VLOOKUP(E528,cuentas_pyme!C:C,1,FALSE)),FALSE,TRUE)</f>
        <v>1</v>
      </c>
      <c r="I528" s="10"/>
      <c r="J528" s="11" t="s">
        <v>2291</v>
      </c>
      <c r="K528" s="10" t="str">
        <f t="shared" si="64"/>
        <v>5.G.66</v>
      </c>
      <c r="L528" s="10" t="str">
        <f t="shared" si="65"/>
        <v>5.G.66</v>
      </c>
      <c r="M528" s="12" t="s">
        <v>2053</v>
      </c>
      <c r="N528" t="s">
        <v>1585</v>
      </c>
      <c r="O528" t="str">
        <f t="shared" si="62"/>
        <v>5.G</v>
      </c>
    </row>
    <row r="529" spans="3:15" x14ac:dyDescent="0.25">
      <c r="C529" s="9">
        <v>658</v>
      </c>
      <c r="D529" s="16">
        <v>6650</v>
      </c>
      <c r="E529" s="10" t="str">
        <f t="shared" si="60"/>
        <v>6650</v>
      </c>
      <c r="F529" s="10" t="str">
        <f t="shared" si="61"/>
        <v>665</v>
      </c>
      <c r="G529" s="10">
        <f t="shared" si="63"/>
        <v>0</v>
      </c>
      <c r="H529" s="10" t="b">
        <f>IF(ISERROR(VLOOKUP(E529,cuentas_pyme!C:C,1,FALSE)),FALSE,TRUE)</f>
        <v>1</v>
      </c>
      <c r="I529" s="10"/>
      <c r="J529" s="11" t="s">
        <v>2396</v>
      </c>
      <c r="K529" s="10" t="str">
        <f t="shared" si="64"/>
        <v>5.G.665</v>
      </c>
      <c r="L529" s="10" t="str">
        <f t="shared" si="65"/>
        <v>5.G.665</v>
      </c>
      <c r="M529" s="12" t="s">
        <v>2054</v>
      </c>
      <c r="N529" t="s">
        <v>1585</v>
      </c>
      <c r="O529" t="str">
        <f t="shared" si="62"/>
        <v>5.G</v>
      </c>
    </row>
    <row r="530" spans="3:15" x14ac:dyDescent="0.25">
      <c r="C530" s="9">
        <v>659</v>
      </c>
      <c r="D530" s="16">
        <v>6651</v>
      </c>
      <c r="E530" s="10" t="str">
        <f t="shared" si="60"/>
        <v>6651</v>
      </c>
      <c r="F530" s="10" t="str">
        <f t="shared" si="61"/>
        <v>665</v>
      </c>
      <c r="G530" s="10">
        <f t="shared" si="63"/>
        <v>0</v>
      </c>
      <c r="H530" s="10" t="b">
        <f>IF(ISERROR(VLOOKUP(E530,cuentas_pyme!C:C,1,FALSE)),FALSE,TRUE)</f>
        <v>1</v>
      </c>
      <c r="I530" s="10"/>
      <c r="J530" s="11" t="s">
        <v>2397</v>
      </c>
      <c r="K530" s="10" t="str">
        <f t="shared" si="64"/>
        <v>5.G.665</v>
      </c>
      <c r="L530" s="10" t="str">
        <f t="shared" si="65"/>
        <v>5.G.665</v>
      </c>
      <c r="M530" s="12" t="s">
        <v>2055</v>
      </c>
      <c r="N530" t="s">
        <v>1585</v>
      </c>
      <c r="O530" t="str">
        <f t="shared" si="62"/>
        <v>5.G</v>
      </c>
    </row>
    <row r="531" spans="3:15" x14ac:dyDescent="0.25">
      <c r="C531" s="9">
        <v>660</v>
      </c>
      <c r="D531" s="16">
        <v>6652</v>
      </c>
      <c r="E531" s="10" t="str">
        <f t="shared" si="60"/>
        <v>6652</v>
      </c>
      <c r="F531" s="10" t="str">
        <f t="shared" si="61"/>
        <v>665</v>
      </c>
      <c r="G531" s="10">
        <f t="shared" si="63"/>
        <v>0</v>
      </c>
      <c r="H531" s="10" t="b">
        <f>IF(ISERROR(VLOOKUP(E531,cuentas_pyme!C:C,1,FALSE)),FALSE,TRUE)</f>
        <v>1</v>
      </c>
      <c r="I531" s="10"/>
      <c r="J531" s="11" t="s">
        <v>2398</v>
      </c>
      <c r="K531" s="10" t="str">
        <f t="shared" si="64"/>
        <v>5.G.665</v>
      </c>
      <c r="L531" s="10" t="str">
        <f t="shared" si="65"/>
        <v>5.G.665</v>
      </c>
      <c r="M531" s="12" t="s">
        <v>2056</v>
      </c>
      <c r="N531" t="s">
        <v>1585</v>
      </c>
      <c r="O531" t="str">
        <f t="shared" si="62"/>
        <v>5.G</v>
      </c>
    </row>
    <row r="532" spans="3:15" x14ac:dyDescent="0.25">
      <c r="C532" s="9">
        <v>661</v>
      </c>
      <c r="D532" s="16">
        <v>6653</v>
      </c>
      <c r="E532" s="10" t="str">
        <f t="shared" si="60"/>
        <v>6653</v>
      </c>
      <c r="F532" s="10" t="str">
        <f t="shared" si="61"/>
        <v>665</v>
      </c>
      <c r="G532" s="10">
        <f t="shared" si="63"/>
        <v>0</v>
      </c>
      <c r="H532" s="10" t="b">
        <f>IF(ISERROR(VLOOKUP(E532,cuentas_pyme!C:C,1,FALSE)),FALSE,TRUE)</f>
        <v>1</v>
      </c>
      <c r="I532" s="10"/>
      <c r="J532" s="11" t="s">
        <v>2399</v>
      </c>
      <c r="K532" s="10" t="str">
        <f t="shared" si="64"/>
        <v>5.G.665</v>
      </c>
      <c r="L532" s="10" t="str">
        <f t="shared" si="65"/>
        <v>5.G.665</v>
      </c>
      <c r="M532" s="12" t="s">
        <v>2057</v>
      </c>
      <c r="N532" t="s">
        <v>1585</v>
      </c>
      <c r="O532" t="str">
        <f t="shared" si="62"/>
        <v>5.G</v>
      </c>
    </row>
    <row r="533" spans="3:15" x14ac:dyDescent="0.25">
      <c r="C533" s="9">
        <v>662</v>
      </c>
      <c r="D533" s="16">
        <v>6654</v>
      </c>
      <c r="E533" s="10" t="str">
        <f t="shared" si="60"/>
        <v>6654</v>
      </c>
      <c r="F533" s="10" t="str">
        <f t="shared" si="61"/>
        <v>665</v>
      </c>
      <c r="G533" s="10">
        <f t="shared" si="63"/>
        <v>0</v>
      </c>
      <c r="H533" s="10" t="b">
        <f>IF(ISERROR(VLOOKUP(E533,cuentas_pyme!C:C,1,FALSE)),FALSE,TRUE)</f>
        <v>1</v>
      </c>
      <c r="I533" s="10"/>
      <c r="J533" s="11" t="s">
        <v>2400</v>
      </c>
      <c r="K533" s="10" t="str">
        <f t="shared" si="64"/>
        <v>5.G.665</v>
      </c>
      <c r="L533" s="10" t="str">
        <f t="shared" si="65"/>
        <v>5.G.665</v>
      </c>
      <c r="M533" s="12" t="s">
        <v>2058</v>
      </c>
      <c r="N533" t="s">
        <v>1585</v>
      </c>
      <c r="O533" t="str">
        <f t="shared" si="62"/>
        <v>5.G</v>
      </c>
    </row>
    <row r="534" spans="3:15" x14ac:dyDescent="0.25">
      <c r="C534" s="9">
        <v>663</v>
      </c>
      <c r="D534" s="16">
        <v>6655</v>
      </c>
      <c r="E534" s="10" t="str">
        <f t="shared" si="60"/>
        <v>6655</v>
      </c>
      <c r="F534" s="10" t="str">
        <f t="shared" si="61"/>
        <v>665</v>
      </c>
      <c r="G534" s="10">
        <f t="shared" si="63"/>
        <v>0</v>
      </c>
      <c r="H534" s="10" t="b">
        <f>IF(ISERROR(VLOOKUP(E534,cuentas_pyme!C:C,1,FALSE)),FALSE,TRUE)</f>
        <v>1</v>
      </c>
      <c r="I534" s="10"/>
      <c r="J534" s="11" t="s">
        <v>2401</v>
      </c>
      <c r="K534" s="10" t="str">
        <f t="shared" si="64"/>
        <v>5.G.665</v>
      </c>
      <c r="L534" s="10" t="str">
        <f t="shared" si="65"/>
        <v>5.G.665</v>
      </c>
      <c r="M534" s="12" t="s">
        <v>2059</v>
      </c>
      <c r="N534" t="s">
        <v>1585</v>
      </c>
      <c r="O534" t="str">
        <f t="shared" si="62"/>
        <v>5.G</v>
      </c>
    </row>
    <row r="535" spans="3:15" x14ac:dyDescent="0.25">
      <c r="C535" s="9">
        <v>664</v>
      </c>
      <c r="D535" s="16">
        <v>6656</v>
      </c>
      <c r="E535" s="10" t="str">
        <f t="shared" si="60"/>
        <v>6656</v>
      </c>
      <c r="F535" s="10" t="str">
        <f t="shared" si="61"/>
        <v>665</v>
      </c>
      <c r="G535" s="10">
        <f t="shared" si="63"/>
        <v>0</v>
      </c>
      <c r="H535" s="10" t="b">
        <f>IF(ISERROR(VLOOKUP(E535,cuentas_pyme!C:C,1,FALSE)),FALSE,TRUE)</f>
        <v>1</v>
      </c>
      <c r="I535" s="10"/>
      <c r="J535" s="11" t="s">
        <v>2402</v>
      </c>
      <c r="K535" s="10" t="str">
        <f t="shared" si="64"/>
        <v>5.G.665</v>
      </c>
      <c r="L535" s="10" t="str">
        <f t="shared" si="65"/>
        <v>5.G.665</v>
      </c>
      <c r="M535" s="12" t="s">
        <v>2060</v>
      </c>
      <c r="N535" t="s">
        <v>1585</v>
      </c>
      <c r="O535" t="str">
        <f t="shared" si="62"/>
        <v>5.G</v>
      </c>
    </row>
    <row r="536" spans="3:15" x14ac:dyDescent="0.25">
      <c r="C536" s="9">
        <v>665</v>
      </c>
      <c r="D536" s="16">
        <v>6657</v>
      </c>
      <c r="E536" s="10" t="str">
        <f t="shared" si="60"/>
        <v>6657</v>
      </c>
      <c r="F536" s="10" t="str">
        <f t="shared" si="61"/>
        <v>665</v>
      </c>
      <c r="G536" s="10">
        <f t="shared" si="63"/>
        <v>0</v>
      </c>
      <c r="H536" s="10" t="b">
        <f>IF(ISERROR(VLOOKUP(E536,cuentas_pyme!C:C,1,FALSE)),FALSE,TRUE)</f>
        <v>1</v>
      </c>
      <c r="I536" s="10"/>
      <c r="J536" s="11" t="s">
        <v>2403</v>
      </c>
      <c r="K536" s="10" t="str">
        <f t="shared" si="64"/>
        <v>5.G.665</v>
      </c>
      <c r="L536" s="10" t="str">
        <f t="shared" si="65"/>
        <v>5.G.665</v>
      </c>
      <c r="M536" s="12" t="s">
        <v>2061</v>
      </c>
      <c r="N536" t="s">
        <v>1585</v>
      </c>
      <c r="O536" t="str">
        <f t="shared" si="62"/>
        <v>5.G</v>
      </c>
    </row>
    <row r="537" spans="3:15" x14ac:dyDescent="0.25">
      <c r="C537" s="9">
        <v>666</v>
      </c>
      <c r="D537" s="16">
        <v>666</v>
      </c>
      <c r="E537" s="10" t="str">
        <f t="shared" si="60"/>
        <v>666</v>
      </c>
      <c r="F537" s="10" t="str">
        <f t="shared" si="61"/>
        <v>66</v>
      </c>
      <c r="G537" s="10">
        <f t="shared" si="63"/>
        <v>1</v>
      </c>
      <c r="H537" s="10" t="b">
        <f>IF(ISERROR(VLOOKUP(E537,cuentas_pyme!C:C,1,FALSE)),FALSE,TRUE)</f>
        <v>1</v>
      </c>
      <c r="I537" s="10"/>
      <c r="J537" s="11" t="s">
        <v>2292</v>
      </c>
      <c r="K537" s="10" t="str">
        <f t="shared" si="64"/>
        <v>5.G.66</v>
      </c>
      <c r="L537" s="10" t="str">
        <f t="shared" si="65"/>
        <v>5.G.66</v>
      </c>
      <c r="M537" s="12" t="s">
        <v>2062</v>
      </c>
      <c r="N537" t="s">
        <v>1585</v>
      </c>
      <c r="O537" t="str">
        <f t="shared" si="62"/>
        <v>5.G</v>
      </c>
    </row>
    <row r="538" spans="3:15" x14ac:dyDescent="0.25">
      <c r="C538" s="9">
        <v>667</v>
      </c>
      <c r="D538" s="16">
        <v>6660</v>
      </c>
      <c r="E538" s="10" t="str">
        <f t="shared" si="60"/>
        <v>6660</v>
      </c>
      <c r="F538" s="10" t="str">
        <f t="shared" si="61"/>
        <v>666</v>
      </c>
      <c r="G538" s="10">
        <f t="shared" si="63"/>
        <v>0</v>
      </c>
      <c r="H538" s="10" t="b">
        <f>IF(ISERROR(VLOOKUP(E538,cuentas_pyme!C:C,1,FALSE)),FALSE,TRUE)</f>
        <v>1</v>
      </c>
      <c r="I538" s="10"/>
      <c r="J538" s="11" t="s">
        <v>2404</v>
      </c>
      <c r="K538" s="10" t="str">
        <f t="shared" si="64"/>
        <v>5.G.666</v>
      </c>
      <c r="L538" s="10" t="str">
        <f t="shared" si="65"/>
        <v>5.G.666</v>
      </c>
      <c r="M538" s="12" t="s">
        <v>2063</v>
      </c>
      <c r="N538" t="s">
        <v>1585</v>
      </c>
      <c r="O538" t="str">
        <f t="shared" si="62"/>
        <v>5.G</v>
      </c>
    </row>
    <row r="539" spans="3:15" x14ac:dyDescent="0.25">
      <c r="C539" s="9">
        <v>668</v>
      </c>
      <c r="D539" s="16">
        <v>6661</v>
      </c>
      <c r="E539" s="10" t="str">
        <f t="shared" si="60"/>
        <v>6661</v>
      </c>
      <c r="F539" s="10" t="str">
        <f t="shared" si="61"/>
        <v>666</v>
      </c>
      <c r="G539" s="10">
        <f t="shared" si="63"/>
        <v>0</v>
      </c>
      <c r="H539" s="10" t="b">
        <f>IF(ISERROR(VLOOKUP(E539,cuentas_pyme!C:C,1,FALSE)),FALSE,TRUE)</f>
        <v>1</v>
      </c>
      <c r="I539" s="10"/>
      <c r="J539" s="11" t="s">
        <v>2405</v>
      </c>
      <c r="K539" s="10" t="str">
        <f t="shared" si="64"/>
        <v>5.G.666</v>
      </c>
      <c r="L539" s="10" t="str">
        <f t="shared" si="65"/>
        <v>5.G.666</v>
      </c>
      <c r="M539" s="12" t="s">
        <v>2064</v>
      </c>
      <c r="N539" t="s">
        <v>1585</v>
      </c>
      <c r="O539" t="str">
        <f t="shared" si="62"/>
        <v>5.G</v>
      </c>
    </row>
    <row r="540" spans="3:15" x14ac:dyDescent="0.25">
      <c r="C540" s="9">
        <v>669</v>
      </c>
      <c r="D540" s="16">
        <v>6662</v>
      </c>
      <c r="E540" s="10" t="str">
        <f t="shared" si="60"/>
        <v>6662</v>
      </c>
      <c r="F540" s="10" t="str">
        <f t="shared" si="61"/>
        <v>666</v>
      </c>
      <c r="G540" s="10">
        <f t="shared" si="63"/>
        <v>0</v>
      </c>
      <c r="H540" s="10" t="b">
        <f>IF(ISERROR(VLOOKUP(E540,cuentas_pyme!C:C,1,FALSE)),FALSE,TRUE)</f>
        <v>1</v>
      </c>
      <c r="I540" s="10"/>
      <c r="J540" s="11" t="s">
        <v>2406</v>
      </c>
      <c r="K540" s="10" t="str">
        <f t="shared" si="64"/>
        <v>5.G.666</v>
      </c>
      <c r="L540" s="10" t="str">
        <f t="shared" si="65"/>
        <v>5.G.666</v>
      </c>
      <c r="M540" s="12" t="s">
        <v>2065</v>
      </c>
      <c r="N540" t="s">
        <v>1585</v>
      </c>
      <c r="O540" t="str">
        <f t="shared" si="62"/>
        <v>5.G</v>
      </c>
    </row>
    <row r="541" spans="3:15" x14ac:dyDescent="0.25">
      <c r="C541" s="9">
        <v>670</v>
      </c>
      <c r="D541" s="16">
        <v>6663</v>
      </c>
      <c r="E541" s="10" t="str">
        <f t="shared" si="60"/>
        <v>6663</v>
      </c>
      <c r="F541" s="10" t="str">
        <f t="shared" si="61"/>
        <v>666</v>
      </c>
      <c r="G541" s="10">
        <f t="shared" si="63"/>
        <v>0</v>
      </c>
      <c r="H541" s="10" t="b">
        <f>IF(ISERROR(VLOOKUP(E541,cuentas_pyme!C:C,1,FALSE)),FALSE,TRUE)</f>
        <v>1</v>
      </c>
      <c r="I541" s="10"/>
      <c r="J541" s="11" t="s">
        <v>2407</v>
      </c>
      <c r="K541" s="10" t="str">
        <f t="shared" si="64"/>
        <v>5.G.666</v>
      </c>
      <c r="L541" s="10" t="str">
        <f t="shared" si="65"/>
        <v>5.G.666</v>
      </c>
      <c r="M541" s="12" t="s">
        <v>2066</v>
      </c>
      <c r="N541" t="s">
        <v>1585</v>
      </c>
      <c r="O541" t="str">
        <f t="shared" si="62"/>
        <v>5.G</v>
      </c>
    </row>
    <row r="542" spans="3:15" x14ac:dyDescent="0.25">
      <c r="C542" s="9">
        <v>671</v>
      </c>
      <c r="D542" s="16">
        <v>6665</v>
      </c>
      <c r="E542" s="10" t="str">
        <f t="shared" si="60"/>
        <v>6665</v>
      </c>
      <c r="F542" s="10" t="str">
        <f t="shared" si="61"/>
        <v>666</v>
      </c>
      <c r="G542" s="10">
        <f t="shared" si="63"/>
        <v>0</v>
      </c>
      <c r="H542" s="10" t="b">
        <f>IF(ISERROR(VLOOKUP(E542,cuentas_pyme!C:C,1,FALSE)),FALSE,TRUE)</f>
        <v>1</v>
      </c>
      <c r="I542" s="10"/>
      <c r="J542" s="11" t="s">
        <v>2408</v>
      </c>
      <c r="K542" s="10" t="str">
        <f t="shared" si="64"/>
        <v>5.G.666</v>
      </c>
      <c r="L542" s="10" t="str">
        <f t="shared" si="65"/>
        <v>5.G.666</v>
      </c>
      <c r="M542" s="12" t="s">
        <v>2067</v>
      </c>
      <c r="N542" t="s">
        <v>1585</v>
      </c>
      <c r="O542" t="str">
        <f t="shared" si="62"/>
        <v>5.G</v>
      </c>
    </row>
    <row r="543" spans="3:15" x14ac:dyDescent="0.25">
      <c r="C543" s="9">
        <v>672</v>
      </c>
      <c r="D543" s="16">
        <v>6666</v>
      </c>
      <c r="E543" s="10" t="str">
        <f t="shared" si="60"/>
        <v>6666</v>
      </c>
      <c r="F543" s="10" t="str">
        <f t="shared" si="61"/>
        <v>666</v>
      </c>
      <c r="G543" s="10">
        <f t="shared" si="63"/>
        <v>0</v>
      </c>
      <c r="H543" s="10" t="b">
        <f>IF(ISERROR(VLOOKUP(E543,cuentas_pyme!C:C,1,FALSE)),FALSE,TRUE)</f>
        <v>1</v>
      </c>
      <c r="I543" s="10"/>
      <c r="J543" s="11" t="s">
        <v>2409</v>
      </c>
      <c r="K543" s="10" t="str">
        <f t="shared" si="64"/>
        <v>5.G.666</v>
      </c>
      <c r="L543" s="10" t="str">
        <f t="shared" si="65"/>
        <v>5.G.666</v>
      </c>
      <c r="M543" s="12" t="s">
        <v>2068</v>
      </c>
      <c r="N543" t="s">
        <v>1585</v>
      </c>
      <c r="O543" t="str">
        <f t="shared" si="62"/>
        <v>5.G</v>
      </c>
    </row>
    <row r="544" spans="3:15" x14ac:dyDescent="0.25">
      <c r="C544" s="9">
        <v>673</v>
      </c>
      <c r="D544" s="16">
        <v>6667</v>
      </c>
      <c r="E544" s="10" t="str">
        <f t="shared" si="60"/>
        <v>6667</v>
      </c>
      <c r="F544" s="10" t="str">
        <f t="shared" si="61"/>
        <v>666</v>
      </c>
      <c r="G544" s="10">
        <f t="shared" si="63"/>
        <v>0</v>
      </c>
      <c r="H544" s="10" t="b">
        <f>IF(ISERROR(VLOOKUP(E544,cuentas_pyme!C:C,1,FALSE)),FALSE,TRUE)</f>
        <v>1</v>
      </c>
      <c r="I544" s="10"/>
      <c r="J544" s="11" t="s">
        <v>2410</v>
      </c>
      <c r="K544" s="10" t="str">
        <f t="shared" si="64"/>
        <v>5.G.666</v>
      </c>
      <c r="L544" s="10" t="str">
        <f t="shared" si="65"/>
        <v>5.G.666</v>
      </c>
      <c r="M544" s="12" t="s">
        <v>2069</v>
      </c>
      <c r="N544" t="s">
        <v>1585</v>
      </c>
      <c r="O544" t="str">
        <f t="shared" si="62"/>
        <v>5.G</v>
      </c>
    </row>
    <row r="545" spans="3:15" x14ac:dyDescent="0.25">
      <c r="C545" s="9">
        <v>674</v>
      </c>
      <c r="D545" s="16">
        <v>6668</v>
      </c>
      <c r="E545" s="10" t="str">
        <f t="shared" si="60"/>
        <v>6668</v>
      </c>
      <c r="F545" s="10" t="str">
        <f t="shared" si="61"/>
        <v>666</v>
      </c>
      <c r="G545" s="10">
        <f t="shared" si="63"/>
        <v>0</v>
      </c>
      <c r="H545" s="10" t="b">
        <f>IF(ISERROR(VLOOKUP(E545,cuentas_pyme!C:C,1,FALSE)),FALSE,TRUE)</f>
        <v>1</v>
      </c>
      <c r="I545" s="10"/>
      <c r="J545" s="11" t="s">
        <v>2411</v>
      </c>
      <c r="K545" s="10" t="str">
        <f t="shared" si="64"/>
        <v>5.G.666</v>
      </c>
      <c r="L545" s="10" t="str">
        <f t="shared" si="65"/>
        <v>5.G.666</v>
      </c>
      <c r="M545" s="12" t="s">
        <v>2070</v>
      </c>
      <c r="N545" t="s">
        <v>1585</v>
      </c>
      <c r="O545" t="str">
        <f t="shared" si="62"/>
        <v>5.G</v>
      </c>
    </row>
    <row r="546" spans="3:15" x14ac:dyDescent="0.25">
      <c r="C546" s="9">
        <v>675</v>
      </c>
      <c r="D546" s="16">
        <v>667</v>
      </c>
      <c r="E546" s="10" t="str">
        <f t="shared" ref="E546:E609" si="66">TEXT(D546,0)</f>
        <v>667</v>
      </c>
      <c r="F546" s="10" t="str">
        <f t="shared" ref="F546:F609" si="67">LEFT(D546,LEN(D546)-1)</f>
        <v>66</v>
      </c>
      <c r="G546" s="10">
        <f t="shared" si="63"/>
        <v>1</v>
      </c>
      <c r="H546" s="10" t="b">
        <f>IF(ISERROR(VLOOKUP(E546,cuentas_pyme!C:C,1,FALSE)),FALSE,TRUE)</f>
        <v>1</v>
      </c>
      <c r="I546" s="10"/>
      <c r="J546" s="11" t="s">
        <v>2293</v>
      </c>
      <c r="K546" s="10" t="str">
        <f t="shared" si="64"/>
        <v>5.G.66</v>
      </c>
      <c r="L546" s="10" t="str">
        <f t="shared" si="65"/>
        <v>5.G.66</v>
      </c>
      <c r="M546" s="12" t="s">
        <v>2071</v>
      </c>
      <c r="N546" t="s">
        <v>1585</v>
      </c>
      <c r="O546" t="str">
        <f t="shared" si="62"/>
        <v>5.G</v>
      </c>
    </row>
    <row r="547" spans="3:15" x14ac:dyDescent="0.25">
      <c r="C547" s="9">
        <v>676</v>
      </c>
      <c r="D547" s="16">
        <v>6670</v>
      </c>
      <c r="E547" s="10" t="str">
        <f t="shared" si="66"/>
        <v>6670</v>
      </c>
      <c r="F547" s="10" t="str">
        <f t="shared" si="67"/>
        <v>667</v>
      </c>
      <c r="G547" s="10">
        <f t="shared" si="63"/>
        <v>0</v>
      </c>
      <c r="H547" s="10" t="b">
        <f>IF(ISERROR(VLOOKUP(E547,cuentas_pyme!C:C,1,FALSE)),FALSE,TRUE)</f>
        <v>1</v>
      </c>
      <c r="I547" s="10"/>
      <c r="J547" s="11" t="s">
        <v>2412</v>
      </c>
      <c r="K547" s="10" t="str">
        <f t="shared" si="64"/>
        <v>5.G.667</v>
      </c>
      <c r="L547" s="10" t="str">
        <f t="shared" si="65"/>
        <v>5.G.667</v>
      </c>
      <c r="M547" s="12" t="s">
        <v>2072</v>
      </c>
      <c r="N547" t="s">
        <v>1585</v>
      </c>
      <c r="O547" t="str">
        <f t="shared" ref="O547:O578" si="68">IFERROR(VLOOKUP(N547,$Q$4:$R$9,2,FALSE),"")</f>
        <v>5.G</v>
      </c>
    </row>
    <row r="548" spans="3:15" x14ac:dyDescent="0.25">
      <c r="C548" s="9">
        <v>677</v>
      </c>
      <c r="D548" s="16">
        <v>6671</v>
      </c>
      <c r="E548" s="10" t="str">
        <f t="shared" si="66"/>
        <v>6671</v>
      </c>
      <c r="F548" s="10" t="str">
        <f t="shared" si="67"/>
        <v>667</v>
      </c>
      <c r="G548" s="10">
        <f t="shared" si="63"/>
        <v>0</v>
      </c>
      <c r="H548" s="10" t="b">
        <f>IF(ISERROR(VLOOKUP(E548,cuentas_pyme!C:C,1,FALSE)),FALSE,TRUE)</f>
        <v>1</v>
      </c>
      <c r="I548" s="10"/>
      <c r="J548" s="11" t="s">
        <v>2413</v>
      </c>
      <c r="K548" s="10" t="str">
        <f t="shared" si="64"/>
        <v>5.G.667</v>
      </c>
      <c r="L548" s="10" t="str">
        <f t="shared" si="65"/>
        <v>5.G.667</v>
      </c>
      <c r="M548" s="12" t="s">
        <v>2073</v>
      </c>
      <c r="N548" t="s">
        <v>1585</v>
      </c>
      <c r="O548" t="str">
        <f t="shared" si="68"/>
        <v>5.G</v>
      </c>
    </row>
    <row r="549" spans="3:15" x14ac:dyDescent="0.25">
      <c r="C549" s="9">
        <v>678</v>
      </c>
      <c r="D549" s="16">
        <v>6672</v>
      </c>
      <c r="E549" s="10" t="str">
        <f t="shared" si="66"/>
        <v>6672</v>
      </c>
      <c r="F549" s="10" t="str">
        <f t="shared" si="67"/>
        <v>667</v>
      </c>
      <c r="G549" s="10">
        <f t="shared" si="63"/>
        <v>0</v>
      </c>
      <c r="H549" s="10" t="b">
        <f>IF(ISERROR(VLOOKUP(E549,cuentas_pyme!C:C,1,FALSE)),FALSE,TRUE)</f>
        <v>1</v>
      </c>
      <c r="I549" s="10"/>
      <c r="J549" s="11" t="s">
        <v>2414</v>
      </c>
      <c r="K549" s="10" t="str">
        <f t="shared" si="64"/>
        <v>5.G.667</v>
      </c>
      <c r="L549" s="10" t="str">
        <f t="shared" si="65"/>
        <v>5.G.667</v>
      </c>
      <c r="M549" s="12" t="s">
        <v>2074</v>
      </c>
      <c r="N549" t="s">
        <v>1585</v>
      </c>
      <c r="O549" t="str">
        <f t="shared" si="68"/>
        <v>5.G</v>
      </c>
    </row>
    <row r="550" spans="3:15" x14ac:dyDescent="0.25">
      <c r="C550" s="9">
        <v>679</v>
      </c>
      <c r="D550" s="16">
        <v>6673</v>
      </c>
      <c r="E550" s="10" t="str">
        <f t="shared" si="66"/>
        <v>6673</v>
      </c>
      <c r="F550" s="10" t="str">
        <f t="shared" si="67"/>
        <v>667</v>
      </c>
      <c r="G550" s="10">
        <f t="shared" si="63"/>
        <v>0</v>
      </c>
      <c r="H550" s="10" t="b">
        <f>IF(ISERROR(VLOOKUP(E550,cuentas_pyme!C:C,1,FALSE)),FALSE,TRUE)</f>
        <v>1</v>
      </c>
      <c r="I550" s="10"/>
      <c r="J550" s="11" t="s">
        <v>2415</v>
      </c>
      <c r="K550" s="10" t="str">
        <f t="shared" si="64"/>
        <v>5.G.667</v>
      </c>
      <c r="L550" s="10" t="str">
        <f t="shared" si="65"/>
        <v>5.G.667</v>
      </c>
      <c r="M550" s="12" t="s">
        <v>2075</v>
      </c>
      <c r="N550" t="s">
        <v>1585</v>
      </c>
      <c r="O550" t="str">
        <f t="shared" si="68"/>
        <v>5.G</v>
      </c>
    </row>
    <row r="551" spans="3:15" x14ac:dyDescent="0.25">
      <c r="C551" s="9">
        <v>680</v>
      </c>
      <c r="D551" s="16">
        <v>6675</v>
      </c>
      <c r="E551" s="10" t="str">
        <f t="shared" si="66"/>
        <v>6675</v>
      </c>
      <c r="F551" s="10" t="str">
        <f t="shared" si="67"/>
        <v>667</v>
      </c>
      <c r="G551" s="10">
        <f t="shared" si="63"/>
        <v>0</v>
      </c>
      <c r="H551" s="10" t="b">
        <f>IF(ISERROR(VLOOKUP(E551,cuentas_pyme!C:C,1,FALSE)),FALSE,TRUE)</f>
        <v>1</v>
      </c>
      <c r="I551" s="10"/>
      <c r="J551" s="11" t="s">
        <v>2416</v>
      </c>
      <c r="K551" s="10" t="str">
        <f t="shared" si="64"/>
        <v>5.G.667</v>
      </c>
      <c r="L551" s="10" t="str">
        <f t="shared" si="65"/>
        <v>5.G.667</v>
      </c>
      <c r="M551" s="12" t="s">
        <v>2076</v>
      </c>
      <c r="N551" t="s">
        <v>1585</v>
      </c>
      <c r="O551" t="str">
        <f t="shared" si="68"/>
        <v>5.G</v>
      </c>
    </row>
    <row r="552" spans="3:15" x14ac:dyDescent="0.25">
      <c r="C552" s="9">
        <v>681</v>
      </c>
      <c r="D552" s="16">
        <v>6676</v>
      </c>
      <c r="E552" s="10" t="str">
        <f t="shared" si="66"/>
        <v>6676</v>
      </c>
      <c r="F552" s="10" t="str">
        <f t="shared" si="67"/>
        <v>667</v>
      </c>
      <c r="G552" s="10">
        <f t="shared" si="63"/>
        <v>0</v>
      </c>
      <c r="H552" s="10" t="b">
        <f>IF(ISERROR(VLOOKUP(E552,cuentas_pyme!C:C,1,FALSE)),FALSE,TRUE)</f>
        <v>1</v>
      </c>
      <c r="I552" s="10"/>
      <c r="J552" s="11" t="s">
        <v>2417</v>
      </c>
      <c r="K552" s="10" t="str">
        <f t="shared" si="64"/>
        <v>5.G.667</v>
      </c>
      <c r="L552" s="10" t="str">
        <f t="shared" si="65"/>
        <v>5.G.667</v>
      </c>
      <c r="M552" s="12" t="s">
        <v>2077</v>
      </c>
      <c r="N552" t="s">
        <v>1585</v>
      </c>
      <c r="O552" t="str">
        <f t="shared" si="68"/>
        <v>5.G</v>
      </c>
    </row>
    <row r="553" spans="3:15" x14ac:dyDescent="0.25">
      <c r="C553" s="9">
        <v>682</v>
      </c>
      <c r="D553" s="16">
        <v>6677</v>
      </c>
      <c r="E553" s="10" t="str">
        <f t="shared" si="66"/>
        <v>6677</v>
      </c>
      <c r="F553" s="10" t="str">
        <f t="shared" si="67"/>
        <v>667</v>
      </c>
      <c r="G553" s="10">
        <f t="shared" si="63"/>
        <v>0</v>
      </c>
      <c r="H553" s="10" t="b">
        <f>IF(ISERROR(VLOOKUP(E553,cuentas_pyme!C:C,1,FALSE)),FALSE,TRUE)</f>
        <v>1</v>
      </c>
      <c r="I553" s="10"/>
      <c r="J553" s="11" t="s">
        <v>2418</v>
      </c>
      <c r="K553" s="10" t="str">
        <f t="shared" si="64"/>
        <v>5.G.667</v>
      </c>
      <c r="L553" s="10" t="str">
        <f t="shared" si="65"/>
        <v>5.G.667</v>
      </c>
      <c r="M553" s="12" t="s">
        <v>2078</v>
      </c>
      <c r="N553" t="s">
        <v>1585</v>
      </c>
      <c r="O553" t="str">
        <f t="shared" si="68"/>
        <v>5.G</v>
      </c>
    </row>
    <row r="554" spans="3:15" x14ac:dyDescent="0.25">
      <c r="C554" s="9">
        <v>683</v>
      </c>
      <c r="D554" s="16">
        <v>6678</v>
      </c>
      <c r="E554" s="10" t="str">
        <f t="shared" si="66"/>
        <v>6678</v>
      </c>
      <c r="F554" s="10" t="str">
        <f t="shared" si="67"/>
        <v>667</v>
      </c>
      <c r="G554" s="10">
        <f t="shared" si="63"/>
        <v>0</v>
      </c>
      <c r="H554" s="10" t="b">
        <f>IF(ISERROR(VLOOKUP(E554,cuentas_pyme!C:C,1,FALSE)),FALSE,TRUE)</f>
        <v>1</v>
      </c>
      <c r="I554" s="10"/>
      <c r="J554" s="11" t="s">
        <v>2419</v>
      </c>
      <c r="K554" s="10" t="str">
        <f t="shared" si="64"/>
        <v>5.G.667</v>
      </c>
      <c r="L554" s="10" t="str">
        <f t="shared" si="65"/>
        <v>5.G.667</v>
      </c>
      <c r="M554" s="12" t="s">
        <v>2079</v>
      </c>
      <c r="N554" t="s">
        <v>1585</v>
      </c>
      <c r="O554" t="str">
        <f t="shared" si="68"/>
        <v>5.G</v>
      </c>
    </row>
    <row r="555" spans="3:15" x14ac:dyDescent="0.25">
      <c r="C555" s="9">
        <v>684</v>
      </c>
      <c r="D555" s="16">
        <v>668</v>
      </c>
      <c r="E555" s="10" t="str">
        <f t="shared" si="66"/>
        <v>668</v>
      </c>
      <c r="F555" s="10" t="str">
        <f t="shared" si="67"/>
        <v>66</v>
      </c>
      <c r="G555" s="10">
        <f t="shared" si="63"/>
        <v>0</v>
      </c>
      <c r="H555" s="10" t="b">
        <f>IF(ISERROR(VLOOKUP(E555,cuentas_pyme!C:C,1,FALSE)),FALSE,TRUE)</f>
        <v>1</v>
      </c>
      <c r="I555" s="10"/>
      <c r="J555" s="11" t="s">
        <v>2420</v>
      </c>
      <c r="K555" s="10" t="str">
        <f t="shared" si="64"/>
        <v>5.G.66</v>
      </c>
      <c r="L555" s="10" t="str">
        <f t="shared" si="65"/>
        <v>5.G.66</v>
      </c>
      <c r="M555" s="12" t="s">
        <v>2080</v>
      </c>
      <c r="N555" t="s">
        <v>1585</v>
      </c>
      <c r="O555" t="str">
        <f t="shared" si="68"/>
        <v>5.G</v>
      </c>
    </row>
    <row r="556" spans="3:15" x14ac:dyDescent="0.25">
      <c r="C556" s="9">
        <v>685</v>
      </c>
      <c r="D556" s="16">
        <v>669</v>
      </c>
      <c r="E556" s="10" t="str">
        <f t="shared" si="66"/>
        <v>669</v>
      </c>
      <c r="F556" s="10" t="str">
        <f t="shared" si="67"/>
        <v>66</v>
      </c>
      <c r="G556" s="10">
        <f t="shared" si="63"/>
        <v>0</v>
      </c>
      <c r="H556" s="10" t="b">
        <f>IF(ISERROR(VLOOKUP(E556,cuentas_pyme!C:C,1,FALSE)),FALSE,TRUE)</f>
        <v>1</v>
      </c>
      <c r="I556" s="10"/>
      <c r="J556" s="11" t="s">
        <v>2421</v>
      </c>
      <c r="K556" s="10" t="str">
        <f t="shared" si="64"/>
        <v>5.G.66</v>
      </c>
      <c r="L556" s="10" t="str">
        <f t="shared" si="65"/>
        <v>5.G.66</v>
      </c>
      <c r="M556" s="12" t="s">
        <v>2081</v>
      </c>
      <c r="N556" t="s">
        <v>1585</v>
      </c>
      <c r="O556" t="str">
        <f t="shared" si="68"/>
        <v>5.G</v>
      </c>
    </row>
    <row r="557" spans="3:15" x14ac:dyDescent="0.25">
      <c r="C557" s="9">
        <v>686</v>
      </c>
      <c r="D557" s="16">
        <v>67</v>
      </c>
      <c r="E557" s="10" t="str">
        <f t="shared" si="66"/>
        <v>67</v>
      </c>
      <c r="F557" s="10" t="str">
        <f t="shared" si="67"/>
        <v>6</v>
      </c>
      <c r="G557" s="10">
        <f t="shared" si="63"/>
        <v>1</v>
      </c>
      <c r="H557" s="10" t="b">
        <f>IF(ISERROR(VLOOKUP(E557,cuentas_pyme!C:C,1,FALSE)),FALSE,TRUE)</f>
        <v>1</v>
      </c>
      <c r="I557" s="10"/>
      <c r="J557" s="11" t="s">
        <v>2294</v>
      </c>
      <c r="K557" s="10" t="s">
        <v>2268</v>
      </c>
      <c r="L557" s="10" t="str">
        <f t="shared" si="65"/>
        <v>5.G</v>
      </c>
      <c r="M557" s="12" t="s">
        <v>3063</v>
      </c>
      <c r="N557" t="s">
        <v>1585</v>
      </c>
      <c r="O557" t="str">
        <f t="shared" si="68"/>
        <v>5.G</v>
      </c>
    </row>
    <row r="558" spans="3:15" x14ac:dyDescent="0.25">
      <c r="C558" s="9">
        <v>687</v>
      </c>
      <c r="D558" s="16">
        <v>670</v>
      </c>
      <c r="E558" s="10" t="str">
        <f t="shared" si="66"/>
        <v>670</v>
      </c>
      <c r="F558" s="10" t="str">
        <f t="shared" si="67"/>
        <v>67</v>
      </c>
      <c r="G558" s="10">
        <f t="shared" si="63"/>
        <v>0</v>
      </c>
      <c r="H558" s="10" t="b">
        <f>IF(ISERROR(VLOOKUP(E558,cuentas_pyme!C:C,1,FALSE)),FALSE,TRUE)</f>
        <v>1</v>
      </c>
      <c r="I558" s="10"/>
      <c r="J558" s="11" t="s">
        <v>2422</v>
      </c>
      <c r="K558" s="10" t="str">
        <f t="shared" si="64"/>
        <v>5.G.67</v>
      </c>
      <c r="L558" s="10" t="str">
        <f t="shared" si="65"/>
        <v>5.G.67</v>
      </c>
      <c r="M558" s="12" t="s">
        <v>2082</v>
      </c>
      <c r="N558" t="s">
        <v>1585</v>
      </c>
      <c r="O558" t="str">
        <f t="shared" si="68"/>
        <v>5.G</v>
      </c>
    </row>
    <row r="559" spans="3:15" x14ac:dyDescent="0.25">
      <c r="C559" s="9">
        <v>688</v>
      </c>
      <c r="D559" s="16">
        <v>671</v>
      </c>
      <c r="E559" s="10" t="str">
        <f t="shared" si="66"/>
        <v>671</v>
      </c>
      <c r="F559" s="10" t="str">
        <f t="shared" si="67"/>
        <v>67</v>
      </c>
      <c r="G559" s="10">
        <f t="shared" si="63"/>
        <v>0</v>
      </c>
      <c r="H559" s="10" t="b">
        <f>IF(ISERROR(VLOOKUP(E559,cuentas_pyme!C:C,1,FALSE)),FALSE,TRUE)</f>
        <v>1</v>
      </c>
      <c r="I559" s="10"/>
      <c r="J559" s="11" t="s">
        <v>2423</v>
      </c>
      <c r="K559" s="10" t="str">
        <f t="shared" si="64"/>
        <v>5.G.67</v>
      </c>
      <c r="L559" s="10" t="str">
        <f t="shared" si="65"/>
        <v>5.G.67</v>
      </c>
      <c r="M559" s="12" t="s">
        <v>2083</v>
      </c>
      <c r="N559" t="s">
        <v>1585</v>
      </c>
      <c r="O559" t="str">
        <f t="shared" si="68"/>
        <v>5.G</v>
      </c>
    </row>
    <row r="560" spans="3:15" x14ac:dyDescent="0.25">
      <c r="C560" s="9">
        <v>689</v>
      </c>
      <c r="D560" s="16">
        <v>672</v>
      </c>
      <c r="E560" s="10" t="str">
        <f t="shared" si="66"/>
        <v>672</v>
      </c>
      <c r="F560" s="10" t="str">
        <f t="shared" si="67"/>
        <v>67</v>
      </c>
      <c r="G560" s="10">
        <f t="shared" si="63"/>
        <v>0</v>
      </c>
      <c r="H560" s="10" t="b">
        <f>IF(ISERROR(VLOOKUP(E560,cuentas_pyme!C:C,1,FALSE)),FALSE,TRUE)</f>
        <v>1</v>
      </c>
      <c r="I560" s="10"/>
      <c r="J560" s="11" t="s">
        <v>2424</v>
      </c>
      <c r="K560" s="10" t="str">
        <f t="shared" si="64"/>
        <v>5.G.67</v>
      </c>
      <c r="L560" s="10" t="str">
        <f t="shared" si="65"/>
        <v>5.G.67</v>
      </c>
      <c r="M560" s="12" t="s">
        <v>2084</v>
      </c>
      <c r="N560" t="s">
        <v>1585</v>
      </c>
      <c r="O560" t="str">
        <f t="shared" si="68"/>
        <v>5.G</v>
      </c>
    </row>
    <row r="561" spans="3:15" x14ac:dyDescent="0.25">
      <c r="C561" s="9">
        <v>690</v>
      </c>
      <c r="D561" s="16">
        <v>673</v>
      </c>
      <c r="E561" s="10" t="str">
        <f t="shared" si="66"/>
        <v>673</v>
      </c>
      <c r="F561" s="10" t="str">
        <f t="shared" si="67"/>
        <v>67</v>
      </c>
      <c r="G561" s="10">
        <f t="shared" si="63"/>
        <v>1</v>
      </c>
      <c r="H561" s="10" t="b">
        <f>IF(ISERROR(VLOOKUP(E561,cuentas_pyme!C:C,1,FALSE)),FALSE,TRUE)</f>
        <v>1</v>
      </c>
      <c r="I561" s="10"/>
      <c r="J561" s="11" t="s">
        <v>2295</v>
      </c>
      <c r="K561" s="10" t="str">
        <f t="shared" si="64"/>
        <v>5.G.67</v>
      </c>
      <c r="L561" s="10" t="str">
        <f t="shared" si="65"/>
        <v>5.G.67</v>
      </c>
      <c r="M561" s="12" t="s">
        <v>2085</v>
      </c>
      <c r="N561" t="s">
        <v>1585</v>
      </c>
      <c r="O561" t="str">
        <f t="shared" si="68"/>
        <v>5.G</v>
      </c>
    </row>
    <row r="562" spans="3:15" x14ac:dyDescent="0.25">
      <c r="C562" s="9">
        <v>691</v>
      </c>
      <c r="D562" s="16">
        <v>6733</v>
      </c>
      <c r="E562" s="10" t="str">
        <f t="shared" si="66"/>
        <v>6733</v>
      </c>
      <c r="F562" s="10" t="str">
        <f t="shared" si="67"/>
        <v>673</v>
      </c>
      <c r="G562" s="10">
        <f t="shared" si="63"/>
        <v>0</v>
      </c>
      <c r="H562" s="10" t="b">
        <f>IF(ISERROR(VLOOKUP(E562,cuentas_pyme!C:C,1,FALSE)),FALSE,TRUE)</f>
        <v>1</v>
      </c>
      <c r="I562" s="10"/>
      <c r="J562" s="11" t="s">
        <v>2425</v>
      </c>
      <c r="K562" s="10" t="str">
        <f t="shared" si="64"/>
        <v>5.G.673</v>
      </c>
      <c r="L562" s="10" t="str">
        <f t="shared" si="65"/>
        <v>5.G.673</v>
      </c>
      <c r="M562" s="12" t="s">
        <v>2086</v>
      </c>
      <c r="N562" t="s">
        <v>1585</v>
      </c>
      <c r="O562" t="str">
        <f t="shared" si="68"/>
        <v>5.G</v>
      </c>
    </row>
    <row r="563" spans="3:15" x14ac:dyDescent="0.25">
      <c r="C563" s="9">
        <v>692</v>
      </c>
      <c r="D563" s="16">
        <v>6734</v>
      </c>
      <c r="E563" s="10" t="str">
        <f t="shared" si="66"/>
        <v>6734</v>
      </c>
      <c r="F563" s="10" t="str">
        <f t="shared" si="67"/>
        <v>673</v>
      </c>
      <c r="G563" s="10">
        <f t="shared" si="63"/>
        <v>0</v>
      </c>
      <c r="H563" s="10" t="b">
        <f>IF(ISERROR(VLOOKUP(E563,cuentas_pyme!C:C,1,FALSE)),FALSE,TRUE)</f>
        <v>1</v>
      </c>
      <c r="I563" s="10"/>
      <c r="J563" s="11" t="s">
        <v>2426</v>
      </c>
      <c r="K563" s="10" t="str">
        <f t="shared" si="64"/>
        <v>5.G.673</v>
      </c>
      <c r="L563" s="10" t="str">
        <f t="shared" si="65"/>
        <v>5.G.673</v>
      </c>
      <c r="M563" s="12" t="s">
        <v>2087</v>
      </c>
      <c r="N563" t="s">
        <v>1585</v>
      </c>
      <c r="O563" t="str">
        <f t="shared" si="68"/>
        <v>5.G</v>
      </c>
    </row>
    <row r="564" spans="3:15" x14ac:dyDescent="0.25">
      <c r="C564" s="9">
        <v>693</v>
      </c>
      <c r="D564" s="16">
        <v>6735</v>
      </c>
      <c r="E564" s="10" t="str">
        <f t="shared" si="66"/>
        <v>6735</v>
      </c>
      <c r="F564" s="10" t="str">
        <f t="shared" si="67"/>
        <v>673</v>
      </c>
      <c r="G564" s="10">
        <f t="shared" si="63"/>
        <v>0</v>
      </c>
      <c r="H564" s="10" t="b">
        <f>IF(ISERROR(VLOOKUP(E564,cuentas_pyme!C:C,1,FALSE)),FALSE,TRUE)</f>
        <v>1</v>
      </c>
      <c r="I564" s="10"/>
      <c r="J564" s="11" t="s">
        <v>2427</v>
      </c>
      <c r="K564" s="10" t="str">
        <f t="shared" si="64"/>
        <v>5.G.673</v>
      </c>
      <c r="L564" s="10" t="str">
        <f t="shared" si="65"/>
        <v>5.G.673</v>
      </c>
      <c r="M564" s="12" t="s">
        <v>2088</v>
      </c>
      <c r="N564" t="s">
        <v>1585</v>
      </c>
      <c r="O564" t="str">
        <f t="shared" si="68"/>
        <v>5.G</v>
      </c>
    </row>
    <row r="565" spans="3:15" x14ac:dyDescent="0.25">
      <c r="C565" s="9">
        <v>694</v>
      </c>
      <c r="D565" s="16">
        <v>675</v>
      </c>
      <c r="E565" s="10" t="str">
        <f t="shared" si="66"/>
        <v>675</v>
      </c>
      <c r="F565" s="10" t="str">
        <f t="shared" si="67"/>
        <v>67</v>
      </c>
      <c r="G565" s="10">
        <f t="shared" si="63"/>
        <v>0</v>
      </c>
      <c r="H565" s="10" t="b">
        <f>IF(ISERROR(VLOOKUP(E565,cuentas_pyme!C:C,1,FALSE)),FALSE,TRUE)</f>
        <v>1</v>
      </c>
      <c r="I565" s="10"/>
      <c r="J565" s="11" t="s">
        <v>2428</v>
      </c>
      <c r="K565" s="10" t="str">
        <f t="shared" si="64"/>
        <v>5.G.67</v>
      </c>
      <c r="L565" s="10" t="str">
        <f t="shared" si="65"/>
        <v>5.G.67</v>
      </c>
      <c r="M565" s="12" t="s">
        <v>2089</v>
      </c>
      <c r="N565" t="s">
        <v>1585</v>
      </c>
      <c r="O565" t="str">
        <f t="shared" si="68"/>
        <v>5.G</v>
      </c>
    </row>
    <row r="566" spans="3:15" x14ac:dyDescent="0.25">
      <c r="C566" s="9">
        <v>695</v>
      </c>
      <c r="D566" s="16">
        <v>678</v>
      </c>
      <c r="E566" s="10" t="str">
        <f t="shared" si="66"/>
        <v>678</v>
      </c>
      <c r="F566" s="10" t="str">
        <f t="shared" si="67"/>
        <v>67</v>
      </c>
      <c r="G566" s="10">
        <f t="shared" si="63"/>
        <v>0</v>
      </c>
      <c r="H566" s="10" t="b">
        <f>IF(ISERROR(VLOOKUP(E566,cuentas_pyme!C:C,1,FALSE)),FALSE,TRUE)</f>
        <v>1</v>
      </c>
      <c r="I566" s="10"/>
      <c r="J566" s="11" t="s">
        <v>2429</v>
      </c>
      <c r="K566" s="10" t="str">
        <f t="shared" si="64"/>
        <v>5.G.67</v>
      </c>
      <c r="L566" s="10" t="str">
        <f t="shared" si="65"/>
        <v>5.G.67</v>
      </c>
      <c r="M566" s="12" t="s">
        <v>2090</v>
      </c>
      <c r="N566" t="s">
        <v>1585</v>
      </c>
      <c r="O566" t="str">
        <f t="shared" si="68"/>
        <v>5.G</v>
      </c>
    </row>
    <row r="567" spans="3:15" x14ac:dyDescent="0.25">
      <c r="C567" s="9">
        <v>696</v>
      </c>
      <c r="D567" s="16">
        <v>68</v>
      </c>
      <c r="E567" s="10" t="str">
        <f t="shared" si="66"/>
        <v>68</v>
      </c>
      <c r="F567" s="10" t="str">
        <f t="shared" si="67"/>
        <v>6</v>
      </c>
      <c r="G567" s="10">
        <f t="shared" si="63"/>
        <v>1</v>
      </c>
      <c r="H567" s="10" t="b">
        <f>IF(ISERROR(VLOOKUP(E567,cuentas_pyme!C:C,1,FALSE)),FALSE,TRUE)</f>
        <v>1</v>
      </c>
      <c r="I567" s="10"/>
      <c r="J567" s="11" t="s">
        <v>2296</v>
      </c>
      <c r="K567" s="10" t="s">
        <v>2268</v>
      </c>
      <c r="L567" s="10" t="str">
        <f t="shared" si="65"/>
        <v>5.G</v>
      </c>
      <c r="M567" s="12" t="s">
        <v>3064</v>
      </c>
      <c r="N567" t="s">
        <v>1585</v>
      </c>
      <c r="O567" t="str">
        <f t="shared" si="68"/>
        <v>5.G</v>
      </c>
    </row>
    <row r="568" spans="3:15" x14ac:dyDescent="0.25">
      <c r="C568" s="9">
        <v>697</v>
      </c>
      <c r="D568" s="16">
        <v>680</v>
      </c>
      <c r="E568" s="10" t="str">
        <f t="shared" si="66"/>
        <v>680</v>
      </c>
      <c r="F568" s="10" t="str">
        <f t="shared" si="67"/>
        <v>68</v>
      </c>
      <c r="G568" s="10">
        <f t="shared" si="63"/>
        <v>0</v>
      </c>
      <c r="H568" s="10" t="b">
        <f>IF(ISERROR(VLOOKUP(E568,cuentas_pyme!C:C,1,FALSE)),FALSE,TRUE)</f>
        <v>1</v>
      </c>
      <c r="I568" s="10"/>
      <c r="J568" s="11" t="s">
        <v>2430</v>
      </c>
      <c r="K568" s="10" t="str">
        <f t="shared" si="64"/>
        <v>5.G.68</v>
      </c>
      <c r="L568" s="10" t="str">
        <f t="shared" si="65"/>
        <v>5.G.68</v>
      </c>
      <c r="M568" s="12" t="s">
        <v>2091</v>
      </c>
      <c r="N568" t="s">
        <v>1585</v>
      </c>
      <c r="O568" t="str">
        <f t="shared" si="68"/>
        <v>5.G</v>
      </c>
    </row>
    <row r="569" spans="3:15" x14ac:dyDescent="0.25">
      <c r="C569" s="9">
        <v>698</v>
      </c>
      <c r="D569" s="16">
        <v>681</v>
      </c>
      <c r="E569" s="10" t="str">
        <f t="shared" si="66"/>
        <v>681</v>
      </c>
      <c r="F569" s="10" t="str">
        <f t="shared" si="67"/>
        <v>68</v>
      </c>
      <c r="G569" s="10">
        <f t="shared" si="63"/>
        <v>0</v>
      </c>
      <c r="H569" s="10" t="b">
        <f>IF(ISERROR(VLOOKUP(E569,cuentas_pyme!C:C,1,FALSE)),FALSE,TRUE)</f>
        <v>1</v>
      </c>
      <c r="I569" s="10"/>
      <c r="J569" s="11" t="s">
        <v>2431</v>
      </c>
      <c r="K569" s="10" t="str">
        <f t="shared" si="64"/>
        <v>5.G.68</v>
      </c>
      <c r="L569" s="10" t="str">
        <f t="shared" si="65"/>
        <v>5.G.68</v>
      </c>
      <c r="M569" s="12" t="s">
        <v>2092</v>
      </c>
      <c r="N569" t="s">
        <v>1585</v>
      </c>
      <c r="O569" t="str">
        <f t="shared" si="68"/>
        <v>5.G</v>
      </c>
    </row>
    <row r="570" spans="3:15" x14ac:dyDescent="0.25">
      <c r="C570" s="9">
        <v>699</v>
      </c>
      <c r="D570" s="16">
        <v>682</v>
      </c>
      <c r="E570" s="10" t="str">
        <f t="shared" si="66"/>
        <v>682</v>
      </c>
      <c r="F570" s="10" t="str">
        <f t="shared" si="67"/>
        <v>68</v>
      </c>
      <c r="G570" s="10">
        <f t="shared" ref="G570:G633" si="69">IF(IFERROR(VLOOKUP(E570,F:F,1,FALSE),0)&lt;&gt;0,1,0)</f>
        <v>0</v>
      </c>
      <c r="H570" s="10" t="b">
        <f>IF(ISERROR(VLOOKUP(E570,cuentas_pyme!C:C,1,FALSE)),FALSE,TRUE)</f>
        <v>1</v>
      </c>
      <c r="I570" s="10"/>
      <c r="J570" s="11" t="s">
        <v>2432</v>
      </c>
      <c r="K570" s="10" t="str">
        <f t="shared" si="64"/>
        <v>5.G.68</v>
      </c>
      <c r="L570" s="10" t="str">
        <f t="shared" si="65"/>
        <v>5.G.68</v>
      </c>
      <c r="M570" s="12" t="s">
        <v>2093</v>
      </c>
      <c r="N570" t="s">
        <v>1585</v>
      </c>
      <c r="O570" t="str">
        <f t="shared" si="68"/>
        <v>5.G</v>
      </c>
    </row>
    <row r="571" spans="3:15" x14ac:dyDescent="0.25">
      <c r="C571" s="9">
        <v>700</v>
      </c>
      <c r="D571" s="16">
        <v>69</v>
      </c>
      <c r="E571" s="10" t="str">
        <f t="shared" si="66"/>
        <v>69</v>
      </c>
      <c r="F571" s="10" t="str">
        <f t="shared" si="67"/>
        <v>6</v>
      </c>
      <c r="G571" s="10">
        <f t="shared" si="69"/>
        <v>1</v>
      </c>
      <c r="H571" s="10" t="b">
        <f>IF(ISERROR(VLOOKUP(E571,cuentas_pyme!C:C,1,FALSE)),FALSE,TRUE)</f>
        <v>1</v>
      </c>
      <c r="I571" s="10"/>
      <c r="J571" s="11" t="s">
        <v>2297</v>
      </c>
      <c r="K571" s="10" t="s">
        <v>2268</v>
      </c>
      <c r="L571" s="10" t="str">
        <f t="shared" si="65"/>
        <v>5.G</v>
      </c>
      <c r="M571" s="12" t="s">
        <v>3086</v>
      </c>
      <c r="N571" t="s">
        <v>1585</v>
      </c>
      <c r="O571" t="str">
        <f t="shared" si="68"/>
        <v>5.G</v>
      </c>
    </row>
    <row r="572" spans="3:15" x14ac:dyDescent="0.25">
      <c r="C572" s="9">
        <v>701</v>
      </c>
      <c r="D572" s="16">
        <v>690</v>
      </c>
      <c r="E572" s="10" t="str">
        <f t="shared" si="66"/>
        <v>690</v>
      </c>
      <c r="F572" s="10" t="str">
        <f t="shared" si="67"/>
        <v>69</v>
      </c>
      <c r="G572" s="10">
        <f t="shared" si="69"/>
        <v>0</v>
      </c>
      <c r="H572" s="10" t="b">
        <f>IF(ISERROR(VLOOKUP(E572,cuentas_pyme!C:C,1,FALSE)),FALSE,TRUE)</f>
        <v>1</v>
      </c>
      <c r="I572" s="10"/>
      <c r="J572" s="11" t="s">
        <v>2433</v>
      </c>
      <c r="K572" s="10" t="str">
        <f t="shared" si="64"/>
        <v>5.G.69</v>
      </c>
      <c r="L572" s="10" t="str">
        <f t="shared" si="65"/>
        <v>5.G.69</v>
      </c>
      <c r="M572" s="12" t="s">
        <v>2094</v>
      </c>
      <c r="N572" t="s">
        <v>1585</v>
      </c>
      <c r="O572" t="str">
        <f t="shared" si="68"/>
        <v>5.G</v>
      </c>
    </row>
    <row r="573" spans="3:15" x14ac:dyDescent="0.25">
      <c r="C573" s="9">
        <v>702</v>
      </c>
      <c r="D573" s="16">
        <v>691</v>
      </c>
      <c r="E573" s="10" t="str">
        <f t="shared" si="66"/>
        <v>691</v>
      </c>
      <c r="F573" s="10" t="str">
        <f t="shared" si="67"/>
        <v>69</v>
      </c>
      <c r="G573" s="10">
        <f t="shared" si="69"/>
        <v>0</v>
      </c>
      <c r="H573" s="10" t="b">
        <f>IF(ISERROR(VLOOKUP(E573,cuentas_pyme!C:C,1,FALSE)),FALSE,TRUE)</f>
        <v>1</v>
      </c>
      <c r="I573" s="10"/>
      <c r="J573" s="11" t="s">
        <v>2434</v>
      </c>
      <c r="K573" s="10" t="str">
        <f t="shared" si="64"/>
        <v>5.G.69</v>
      </c>
      <c r="L573" s="10" t="str">
        <f t="shared" si="65"/>
        <v>5.G.69</v>
      </c>
      <c r="M573" s="12" t="s">
        <v>2095</v>
      </c>
      <c r="N573" t="s">
        <v>1585</v>
      </c>
      <c r="O573" t="str">
        <f t="shared" si="68"/>
        <v>5.G</v>
      </c>
    </row>
    <row r="574" spans="3:15" x14ac:dyDescent="0.25">
      <c r="C574" s="9">
        <v>703</v>
      </c>
      <c r="D574" s="16">
        <v>692</v>
      </c>
      <c r="E574" s="10" t="str">
        <f t="shared" si="66"/>
        <v>692</v>
      </c>
      <c r="F574" s="10" t="str">
        <f t="shared" si="67"/>
        <v>69</v>
      </c>
      <c r="G574" s="10">
        <f t="shared" si="69"/>
        <v>0</v>
      </c>
      <c r="H574" s="10" t="b">
        <f>IF(ISERROR(VLOOKUP(E574,cuentas_pyme!C:C,1,FALSE)),FALSE,TRUE)</f>
        <v>1</v>
      </c>
      <c r="I574" s="10"/>
      <c r="J574" s="11" t="s">
        <v>2435</v>
      </c>
      <c r="K574" s="10" t="str">
        <f t="shared" si="64"/>
        <v>5.G.69</v>
      </c>
      <c r="L574" s="10" t="str">
        <f t="shared" si="65"/>
        <v>5.G.69</v>
      </c>
      <c r="M574" s="12" t="s">
        <v>2096</v>
      </c>
      <c r="N574" t="s">
        <v>1585</v>
      </c>
      <c r="O574" t="str">
        <f t="shared" si="68"/>
        <v>5.G</v>
      </c>
    </row>
    <row r="575" spans="3:15" x14ac:dyDescent="0.25">
      <c r="C575" s="9">
        <v>704</v>
      </c>
      <c r="D575" s="16">
        <v>693</v>
      </c>
      <c r="E575" s="10" t="str">
        <f t="shared" si="66"/>
        <v>693</v>
      </c>
      <c r="F575" s="10" t="str">
        <f t="shared" si="67"/>
        <v>69</v>
      </c>
      <c r="G575" s="10">
        <f t="shared" si="69"/>
        <v>1</v>
      </c>
      <c r="H575" s="10" t="b">
        <f>IF(ISERROR(VLOOKUP(E575,cuentas_pyme!C:C,1,FALSE)),FALSE,TRUE)</f>
        <v>1</v>
      </c>
      <c r="I575" s="10"/>
      <c r="J575" s="11" t="s">
        <v>2298</v>
      </c>
      <c r="K575" s="10" t="str">
        <f t="shared" si="64"/>
        <v>5.G.69</v>
      </c>
      <c r="L575" s="10" t="str">
        <f t="shared" si="65"/>
        <v>5.G.69</v>
      </c>
      <c r="M575" s="12" t="s">
        <v>2097</v>
      </c>
      <c r="N575" t="s">
        <v>1585</v>
      </c>
      <c r="O575" t="str">
        <f t="shared" si="68"/>
        <v>5.G</v>
      </c>
    </row>
    <row r="576" spans="3:15" x14ac:dyDescent="0.25">
      <c r="C576" s="9">
        <v>705</v>
      </c>
      <c r="D576" s="16">
        <v>6930</v>
      </c>
      <c r="E576" s="10" t="str">
        <f t="shared" si="66"/>
        <v>6930</v>
      </c>
      <c r="F576" s="10" t="str">
        <f t="shared" si="67"/>
        <v>693</v>
      </c>
      <c r="G576" s="10">
        <f t="shared" si="69"/>
        <v>0</v>
      </c>
      <c r="H576" s="10" t="b">
        <f>IF(ISERROR(VLOOKUP(E576,cuentas_pyme!C:C,1,FALSE)),FALSE,TRUE)</f>
        <v>1</v>
      </c>
      <c r="I576" s="10"/>
      <c r="J576" s="11" t="s">
        <v>2436</v>
      </c>
      <c r="K576" s="10" t="str">
        <f t="shared" si="64"/>
        <v>5.G.693</v>
      </c>
      <c r="L576" s="10" t="str">
        <f t="shared" si="65"/>
        <v>5.G.693</v>
      </c>
      <c r="M576" s="12" t="s">
        <v>2098</v>
      </c>
      <c r="N576" t="s">
        <v>1585</v>
      </c>
      <c r="O576" t="str">
        <f t="shared" si="68"/>
        <v>5.G</v>
      </c>
    </row>
    <row r="577" spans="3:15" x14ac:dyDescent="0.25">
      <c r="C577" s="9">
        <v>706</v>
      </c>
      <c r="D577" s="16">
        <v>6931</v>
      </c>
      <c r="E577" s="10" t="str">
        <f t="shared" si="66"/>
        <v>6931</v>
      </c>
      <c r="F577" s="10" t="str">
        <f t="shared" si="67"/>
        <v>693</v>
      </c>
      <c r="G577" s="10">
        <f t="shared" si="69"/>
        <v>0</v>
      </c>
      <c r="H577" s="10" t="b">
        <f>IF(ISERROR(VLOOKUP(E577,cuentas_pyme!C:C,1,FALSE)),FALSE,TRUE)</f>
        <v>1</v>
      </c>
      <c r="I577" s="10"/>
      <c r="J577" s="11" t="s">
        <v>2437</v>
      </c>
      <c r="K577" s="10" t="str">
        <f t="shared" si="64"/>
        <v>5.G.693</v>
      </c>
      <c r="L577" s="10" t="str">
        <f t="shared" si="65"/>
        <v>5.G.693</v>
      </c>
      <c r="M577" s="12" t="s">
        <v>2099</v>
      </c>
      <c r="N577" t="s">
        <v>1585</v>
      </c>
      <c r="O577" t="str">
        <f t="shared" si="68"/>
        <v>5.G</v>
      </c>
    </row>
    <row r="578" spans="3:15" x14ac:dyDescent="0.25">
      <c r="C578" s="9">
        <v>707</v>
      </c>
      <c r="D578" s="16">
        <v>6932</v>
      </c>
      <c r="E578" s="10" t="str">
        <f t="shared" si="66"/>
        <v>6932</v>
      </c>
      <c r="F578" s="10" t="str">
        <f t="shared" si="67"/>
        <v>693</v>
      </c>
      <c r="G578" s="10">
        <f t="shared" si="69"/>
        <v>0</v>
      </c>
      <c r="H578" s="10" t="b">
        <f>IF(ISERROR(VLOOKUP(E578,cuentas_pyme!C:C,1,FALSE)),FALSE,TRUE)</f>
        <v>1</v>
      </c>
      <c r="I578" s="10"/>
      <c r="J578" s="11" t="s">
        <v>2438</v>
      </c>
      <c r="K578" s="10" t="str">
        <f t="shared" ref="K578:K640" si="70">LEFT(J578,LEN(J578)-1)</f>
        <v>5.G.693</v>
      </c>
      <c r="L578" s="10" t="str">
        <f t="shared" si="65"/>
        <v>5.G.693</v>
      </c>
      <c r="M578" s="12" t="s">
        <v>2100</v>
      </c>
      <c r="N578" t="s">
        <v>1585</v>
      </c>
      <c r="O578" t="str">
        <f t="shared" si="68"/>
        <v>5.G</v>
      </c>
    </row>
    <row r="579" spans="3:15" x14ac:dyDescent="0.25">
      <c r="C579" s="9">
        <v>708</v>
      </c>
      <c r="D579" s="16">
        <v>6933</v>
      </c>
      <c r="E579" s="10" t="str">
        <f t="shared" si="66"/>
        <v>6933</v>
      </c>
      <c r="F579" s="10" t="str">
        <f t="shared" si="67"/>
        <v>693</v>
      </c>
      <c r="G579" s="10">
        <f t="shared" si="69"/>
        <v>0</v>
      </c>
      <c r="H579" s="10" t="b">
        <f>IF(ISERROR(VLOOKUP(E579,cuentas_pyme!C:C,1,FALSE)),FALSE,TRUE)</f>
        <v>1</v>
      </c>
      <c r="I579" s="10"/>
      <c r="J579" s="11" t="s">
        <v>2439</v>
      </c>
      <c r="K579" s="10" t="str">
        <f t="shared" si="70"/>
        <v>5.G.693</v>
      </c>
      <c r="L579" s="10" t="str">
        <f t="shared" si="65"/>
        <v>5.G.693</v>
      </c>
      <c r="M579" s="12" t="s">
        <v>2101</v>
      </c>
      <c r="N579" t="s">
        <v>1585</v>
      </c>
      <c r="O579" t="str">
        <f t="shared" ref="O579:O609" si="71">IFERROR(VLOOKUP(N579,$Q$4:$R$9,2,FALSE),"")</f>
        <v>5.G</v>
      </c>
    </row>
    <row r="580" spans="3:15" x14ac:dyDescent="0.25">
      <c r="C580" s="9">
        <v>709</v>
      </c>
      <c r="D580" s="16">
        <v>694</v>
      </c>
      <c r="E580" s="10" t="str">
        <f t="shared" si="66"/>
        <v>694</v>
      </c>
      <c r="F580" s="10" t="str">
        <f t="shared" si="67"/>
        <v>69</v>
      </c>
      <c r="G580" s="10">
        <f t="shared" si="69"/>
        <v>0</v>
      </c>
      <c r="H580" s="10" t="b">
        <f>IF(ISERROR(VLOOKUP(E580,cuentas_pyme!C:C,1,FALSE)),FALSE,TRUE)</f>
        <v>1</v>
      </c>
      <c r="I580" s="10"/>
      <c r="J580" s="11" t="s">
        <v>2440</v>
      </c>
      <c r="K580" s="10" t="str">
        <f t="shared" si="70"/>
        <v>5.G.69</v>
      </c>
      <c r="L580" s="10" t="str">
        <f t="shared" si="65"/>
        <v>5.G.69</v>
      </c>
      <c r="M580" s="12" t="s">
        <v>2102</v>
      </c>
      <c r="N580" t="s">
        <v>1585</v>
      </c>
      <c r="O580" t="str">
        <f t="shared" si="71"/>
        <v>5.G</v>
      </c>
    </row>
    <row r="581" spans="3:15" x14ac:dyDescent="0.25">
      <c r="C581" s="9">
        <v>710</v>
      </c>
      <c r="D581" s="16">
        <v>695</v>
      </c>
      <c r="E581" s="10" t="str">
        <f t="shared" si="66"/>
        <v>695</v>
      </c>
      <c r="F581" s="10" t="str">
        <f t="shared" si="67"/>
        <v>69</v>
      </c>
      <c r="G581" s="10">
        <f t="shared" si="69"/>
        <v>1</v>
      </c>
      <c r="H581" s="10" t="b">
        <f>IF(ISERROR(VLOOKUP(E581,cuentas_pyme!C:C,1,FALSE)),FALSE,TRUE)</f>
        <v>1</v>
      </c>
      <c r="I581" s="10"/>
      <c r="J581" s="11" t="s">
        <v>2299</v>
      </c>
      <c r="K581" s="10" t="str">
        <f t="shared" si="70"/>
        <v>5.G.69</v>
      </c>
      <c r="L581" s="10" t="str">
        <f t="shared" si="65"/>
        <v>5.G.69</v>
      </c>
      <c r="M581" s="12" t="s">
        <v>2103</v>
      </c>
      <c r="N581" t="s">
        <v>1585</v>
      </c>
      <c r="O581" t="str">
        <f t="shared" si="71"/>
        <v>5.G</v>
      </c>
    </row>
    <row r="582" spans="3:15" x14ac:dyDescent="0.25">
      <c r="C582" s="9">
        <v>711</v>
      </c>
      <c r="D582" s="16">
        <v>6954</v>
      </c>
      <c r="E582" s="10" t="str">
        <f t="shared" si="66"/>
        <v>6954</v>
      </c>
      <c r="F582" s="10" t="str">
        <f t="shared" si="67"/>
        <v>695</v>
      </c>
      <c r="G582" s="10">
        <f t="shared" si="69"/>
        <v>0</v>
      </c>
      <c r="H582" s="10" t="b">
        <f>IF(ISERROR(VLOOKUP(E582,cuentas_pyme!C:C,1,FALSE)),FALSE,TRUE)</f>
        <v>1</v>
      </c>
      <c r="I582" s="10"/>
      <c r="J582" s="11" t="s">
        <v>2441</v>
      </c>
      <c r="K582" s="10" t="str">
        <f t="shared" si="70"/>
        <v>5.G.695</v>
      </c>
      <c r="L582" s="10" t="str">
        <f t="shared" si="65"/>
        <v>5.G.695</v>
      </c>
      <c r="M582" s="12" t="s">
        <v>2104</v>
      </c>
      <c r="N582" t="s">
        <v>1585</v>
      </c>
      <c r="O582" t="str">
        <f t="shared" si="71"/>
        <v>5.G</v>
      </c>
    </row>
    <row r="583" spans="3:15" x14ac:dyDescent="0.25">
      <c r="C583" s="9">
        <v>712</v>
      </c>
      <c r="D583" s="16">
        <v>6959</v>
      </c>
      <c r="E583" s="10" t="str">
        <f t="shared" si="66"/>
        <v>6959</v>
      </c>
      <c r="F583" s="10" t="str">
        <f t="shared" si="67"/>
        <v>695</v>
      </c>
      <c r="G583" s="10">
        <f t="shared" si="69"/>
        <v>0</v>
      </c>
      <c r="H583" s="10" t="b">
        <f>IF(ISERROR(VLOOKUP(E583,cuentas_pyme!C:C,1,FALSE)),FALSE,TRUE)</f>
        <v>1</v>
      </c>
      <c r="I583" s="10"/>
      <c r="J583" s="11" t="s">
        <v>2442</v>
      </c>
      <c r="K583" s="10" t="str">
        <f t="shared" si="70"/>
        <v>5.G.695</v>
      </c>
      <c r="L583" s="10" t="str">
        <f t="shared" si="65"/>
        <v>5.G.695</v>
      </c>
      <c r="M583" s="12" t="s">
        <v>2105</v>
      </c>
      <c r="N583" t="s">
        <v>1585</v>
      </c>
      <c r="O583" t="str">
        <f t="shared" si="71"/>
        <v>5.G</v>
      </c>
    </row>
    <row r="584" spans="3:15" x14ac:dyDescent="0.25">
      <c r="C584" s="9">
        <v>713</v>
      </c>
      <c r="D584" s="16">
        <v>696</v>
      </c>
      <c r="E584" s="10" t="str">
        <f t="shared" si="66"/>
        <v>696</v>
      </c>
      <c r="F584" s="10" t="str">
        <f t="shared" si="67"/>
        <v>69</v>
      </c>
      <c r="G584" s="10">
        <f t="shared" si="69"/>
        <v>1</v>
      </c>
      <c r="H584" s="10" t="b">
        <f>IF(ISERROR(VLOOKUP(E584,cuentas_pyme!C:C,1,FALSE)),FALSE,TRUE)</f>
        <v>1</v>
      </c>
      <c r="I584" s="10"/>
      <c r="J584" s="11" t="s">
        <v>2300</v>
      </c>
      <c r="K584" s="10" t="str">
        <f t="shared" si="70"/>
        <v>5.G.69</v>
      </c>
      <c r="L584" s="10" t="str">
        <f t="shared" si="65"/>
        <v>5.G.69</v>
      </c>
      <c r="M584" s="12" t="s">
        <v>2106</v>
      </c>
      <c r="N584" t="s">
        <v>1585</v>
      </c>
      <c r="O584" t="str">
        <f t="shared" si="71"/>
        <v>5.G</v>
      </c>
    </row>
    <row r="585" spans="3:15" x14ac:dyDescent="0.25">
      <c r="C585" s="9">
        <v>714</v>
      </c>
      <c r="D585" s="16">
        <v>6960</v>
      </c>
      <c r="E585" s="10" t="str">
        <f t="shared" si="66"/>
        <v>6960</v>
      </c>
      <c r="F585" s="10" t="str">
        <f t="shared" si="67"/>
        <v>696</v>
      </c>
      <c r="G585" s="10">
        <f t="shared" si="69"/>
        <v>0</v>
      </c>
      <c r="H585" s="10" t="b">
        <f>IF(ISERROR(VLOOKUP(E585,cuentas_pyme!C:C,1,FALSE)),FALSE,TRUE)</f>
        <v>1</v>
      </c>
      <c r="I585" s="10"/>
      <c r="J585" s="11" t="s">
        <v>2443</v>
      </c>
      <c r="K585" s="10" t="str">
        <f t="shared" si="70"/>
        <v>5.G.696</v>
      </c>
      <c r="L585" s="10" t="str">
        <f t="shared" ref="L585:L648" si="72">VLOOKUP(K585,J:J,1,FALSE)</f>
        <v>5.G.696</v>
      </c>
      <c r="M585" s="13" t="s">
        <v>2107</v>
      </c>
      <c r="N585" t="s">
        <v>1585</v>
      </c>
      <c r="O585" t="str">
        <f t="shared" si="71"/>
        <v>5.G</v>
      </c>
    </row>
    <row r="586" spans="3:15" x14ac:dyDescent="0.25">
      <c r="C586" s="9">
        <v>715</v>
      </c>
      <c r="D586" s="16">
        <v>6961</v>
      </c>
      <c r="E586" s="10" t="str">
        <f t="shared" si="66"/>
        <v>6961</v>
      </c>
      <c r="F586" s="10" t="str">
        <f t="shared" si="67"/>
        <v>696</v>
      </c>
      <c r="G586" s="10">
        <f t="shared" si="69"/>
        <v>0</v>
      </c>
      <c r="H586" s="10" t="b">
        <f>IF(ISERROR(VLOOKUP(E586,cuentas_pyme!C:C,1,FALSE)),FALSE,TRUE)</f>
        <v>1</v>
      </c>
      <c r="I586" s="10"/>
      <c r="J586" s="11" t="s">
        <v>2444</v>
      </c>
      <c r="K586" s="10" t="str">
        <f t="shared" si="70"/>
        <v>5.G.696</v>
      </c>
      <c r="L586" s="10" t="str">
        <f t="shared" si="72"/>
        <v>5.G.696</v>
      </c>
      <c r="M586" s="13" t="s">
        <v>2108</v>
      </c>
      <c r="N586" t="s">
        <v>1585</v>
      </c>
      <c r="O586" t="str">
        <f t="shared" si="71"/>
        <v>5.G</v>
      </c>
    </row>
    <row r="587" spans="3:15" x14ac:dyDescent="0.25">
      <c r="C587" s="9">
        <v>716</v>
      </c>
      <c r="D587" s="16">
        <v>6962</v>
      </c>
      <c r="E587" s="10" t="str">
        <f t="shared" si="66"/>
        <v>6962</v>
      </c>
      <c r="F587" s="10" t="str">
        <f t="shared" si="67"/>
        <v>696</v>
      </c>
      <c r="G587" s="10">
        <f t="shared" si="69"/>
        <v>0</v>
      </c>
      <c r="H587" s="10" t="b">
        <f>IF(ISERROR(VLOOKUP(E587,cuentas_pyme!C:C,1,FALSE)),FALSE,TRUE)</f>
        <v>1</v>
      </c>
      <c r="I587" s="10"/>
      <c r="J587" s="11" t="s">
        <v>2445</v>
      </c>
      <c r="K587" s="10" t="str">
        <f t="shared" si="70"/>
        <v>5.G.696</v>
      </c>
      <c r="L587" s="10" t="str">
        <f t="shared" si="72"/>
        <v>5.G.696</v>
      </c>
      <c r="M587" s="12" t="s">
        <v>2109</v>
      </c>
      <c r="N587" t="s">
        <v>1585</v>
      </c>
      <c r="O587" t="str">
        <f t="shared" si="71"/>
        <v>5.G</v>
      </c>
    </row>
    <row r="588" spans="3:15" x14ac:dyDescent="0.25">
      <c r="C588" s="9">
        <v>717</v>
      </c>
      <c r="D588" s="16">
        <v>6963</v>
      </c>
      <c r="E588" s="10" t="str">
        <f t="shared" si="66"/>
        <v>6963</v>
      </c>
      <c r="F588" s="10" t="str">
        <f t="shared" si="67"/>
        <v>696</v>
      </c>
      <c r="G588" s="10">
        <f t="shared" si="69"/>
        <v>0</v>
      </c>
      <c r="H588" s="10" t="b">
        <f>IF(ISERROR(VLOOKUP(E588,cuentas_pyme!C:C,1,FALSE)),FALSE,TRUE)</f>
        <v>1</v>
      </c>
      <c r="I588" s="10"/>
      <c r="J588" s="11" t="s">
        <v>2446</v>
      </c>
      <c r="K588" s="10" t="str">
        <f t="shared" si="70"/>
        <v>5.G.696</v>
      </c>
      <c r="L588" s="10" t="str">
        <f t="shared" si="72"/>
        <v>5.G.696</v>
      </c>
      <c r="M588" s="12" t="s">
        <v>2110</v>
      </c>
      <c r="N588" t="s">
        <v>1585</v>
      </c>
      <c r="O588" t="str">
        <f t="shared" si="71"/>
        <v>5.G</v>
      </c>
    </row>
    <row r="589" spans="3:15" x14ac:dyDescent="0.25">
      <c r="C589" s="9">
        <v>718</v>
      </c>
      <c r="D589" s="16">
        <v>6965</v>
      </c>
      <c r="E589" s="10" t="str">
        <f t="shared" si="66"/>
        <v>6965</v>
      </c>
      <c r="F589" s="10" t="str">
        <f t="shared" si="67"/>
        <v>696</v>
      </c>
      <c r="G589" s="10">
        <f t="shared" si="69"/>
        <v>0</v>
      </c>
      <c r="H589" s="10" t="b">
        <f>IF(ISERROR(VLOOKUP(E589,cuentas_pyme!C:C,1,FALSE)),FALSE,TRUE)</f>
        <v>1</v>
      </c>
      <c r="I589" s="10"/>
      <c r="J589" s="11" t="s">
        <v>2447</v>
      </c>
      <c r="K589" s="10" t="str">
        <f t="shared" si="70"/>
        <v>5.G.696</v>
      </c>
      <c r="L589" s="10" t="str">
        <f t="shared" si="72"/>
        <v>5.G.696</v>
      </c>
      <c r="M589" s="12" t="s">
        <v>2111</v>
      </c>
      <c r="N589" t="s">
        <v>1585</v>
      </c>
      <c r="O589" t="str">
        <f t="shared" si="71"/>
        <v>5.G</v>
      </c>
    </row>
    <row r="590" spans="3:15" x14ac:dyDescent="0.25">
      <c r="C590" s="9">
        <v>719</v>
      </c>
      <c r="D590" s="16">
        <v>6966</v>
      </c>
      <c r="E590" s="10" t="str">
        <f t="shared" si="66"/>
        <v>6966</v>
      </c>
      <c r="F590" s="10" t="str">
        <f t="shared" si="67"/>
        <v>696</v>
      </c>
      <c r="G590" s="10">
        <f t="shared" si="69"/>
        <v>0</v>
      </c>
      <c r="H590" s="10" t="b">
        <f>IF(ISERROR(VLOOKUP(E590,cuentas_pyme!C:C,1,FALSE)),FALSE,TRUE)</f>
        <v>1</v>
      </c>
      <c r="I590" s="10"/>
      <c r="J590" s="11" t="s">
        <v>2448</v>
      </c>
      <c r="K590" s="10" t="str">
        <f t="shared" si="70"/>
        <v>5.G.696</v>
      </c>
      <c r="L590" s="10" t="str">
        <f t="shared" si="72"/>
        <v>5.G.696</v>
      </c>
      <c r="M590" s="12" t="s">
        <v>2112</v>
      </c>
      <c r="N590" t="s">
        <v>1585</v>
      </c>
      <c r="O590" t="str">
        <f t="shared" si="71"/>
        <v>5.G</v>
      </c>
    </row>
    <row r="591" spans="3:15" x14ac:dyDescent="0.25">
      <c r="C591" s="9">
        <v>720</v>
      </c>
      <c r="D591" s="16">
        <v>6967</v>
      </c>
      <c r="E591" s="10" t="str">
        <f t="shared" si="66"/>
        <v>6967</v>
      </c>
      <c r="F591" s="10" t="str">
        <f t="shared" si="67"/>
        <v>696</v>
      </c>
      <c r="G591" s="10">
        <f t="shared" si="69"/>
        <v>0</v>
      </c>
      <c r="H591" s="10" t="b">
        <f>IF(ISERROR(VLOOKUP(E591,cuentas_pyme!C:C,1,FALSE)),FALSE,TRUE)</f>
        <v>1</v>
      </c>
      <c r="I591" s="10"/>
      <c r="J591" s="11" t="s">
        <v>2449</v>
      </c>
      <c r="K591" s="10" t="str">
        <f t="shared" si="70"/>
        <v>5.G.696</v>
      </c>
      <c r="L591" s="10" t="str">
        <f t="shared" si="72"/>
        <v>5.G.696</v>
      </c>
      <c r="M591" s="12" t="s">
        <v>2113</v>
      </c>
      <c r="N591" t="s">
        <v>1585</v>
      </c>
      <c r="O591" t="str">
        <f t="shared" si="71"/>
        <v>5.G</v>
      </c>
    </row>
    <row r="592" spans="3:15" x14ac:dyDescent="0.25">
      <c r="C592" s="9">
        <v>721</v>
      </c>
      <c r="D592" s="16">
        <v>6968</v>
      </c>
      <c r="E592" s="10" t="str">
        <f t="shared" si="66"/>
        <v>6968</v>
      </c>
      <c r="F592" s="10" t="str">
        <f t="shared" si="67"/>
        <v>696</v>
      </c>
      <c r="G592" s="10">
        <f t="shared" si="69"/>
        <v>0</v>
      </c>
      <c r="H592" s="10" t="b">
        <f>IF(ISERROR(VLOOKUP(E592,cuentas_pyme!C:C,1,FALSE)),FALSE,TRUE)</f>
        <v>1</v>
      </c>
      <c r="I592" s="10"/>
      <c r="J592" s="11" t="s">
        <v>2450</v>
      </c>
      <c r="K592" s="10" t="str">
        <f t="shared" si="70"/>
        <v>5.G.696</v>
      </c>
      <c r="L592" s="10" t="str">
        <f t="shared" si="72"/>
        <v>5.G.696</v>
      </c>
      <c r="M592" s="12" t="s">
        <v>2114</v>
      </c>
      <c r="N592" t="s">
        <v>1585</v>
      </c>
      <c r="O592" t="str">
        <f t="shared" si="71"/>
        <v>5.G</v>
      </c>
    </row>
    <row r="593" spans="3:15" x14ac:dyDescent="0.25">
      <c r="C593" s="9">
        <v>722</v>
      </c>
      <c r="D593" s="16">
        <v>697</v>
      </c>
      <c r="E593" s="10" t="str">
        <f t="shared" si="66"/>
        <v>697</v>
      </c>
      <c r="F593" s="10" t="str">
        <f t="shared" si="67"/>
        <v>69</v>
      </c>
      <c r="G593" s="10">
        <f t="shared" si="69"/>
        <v>1</v>
      </c>
      <c r="H593" s="10" t="b">
        <f>IF(ISERROR(VLOOKUP(E593,cuentas_pyme!C:C,1,FALSE)),FALSE,TRUE)</f>
        <v>1</v>
      </c>
      <c r="I593" s="10"/>
      <c r="J593" s="11" t="s">
        <v>2301</v>
      </c>
      <c r="K593" s="10" t="str">
        <f t="shared" si="70"/>
        <v>5.G.69</v>
      </c>
      <c r="L593" s="10" t="str">
        <f t="shared" si="72"/>
        <v>5.G.69</v>
      </c>
      <c r="M593" s="12" t="s">
        <v>2115</v>
      </c>
      <c r="N593" t="s">
        <v>1585</v>
      </c>
      <c r="O593" t="str">
        <f t="shared" si="71"/>
        <v>5.G</v>
      </c>
    </row>
    <row r="594" spans="3:15" x14ac:dyDescent="0.25">
      <c r="C594" s="9">
        <v>723</v>
      </c>
      <c r="D594" s="16">
        <v>6970</v>
      </c>
      <c r="E594" s="10" t="str">
        <f t="shared" si="66"/>
        <v>6970</v>
      </c>
      <c r="F594" s="10" t="str">
        <f t="shared" si="67"/>
        <v>697</v>
      </c>
      <c r="G594" s="10">
        <f t="shared" si="69"/>
        <v>0</v>
      </c>
      <c r="H594" s="10" t="b">
        <f>IF(ISERROR(VLOOKUP(E594,cuentas_pyme!C:C,1,FALSE)),FALSE,TRUE)</f>
        <v>1</v>
      </c>
      <c r="I594" s="10"/>
      <c r="J594" s="11" t="s">
        <v>2451</v>
      </c>
      <c r="K594" s="10" t="str">
        <f t="shared" si="70"/>
        <v>5.G.697</v>
      </c>
      <c r="L594" s="10" t="str">
        <f t="shared" si="72"/>
        <v>5.G.697</v>
      </c>
      <c r="M594" s="12" t="s">
        <v>2116</v>
      </c>
      <c r="N594" t="s">
        <v>1585</v>
      </c>
      <c r="O594" t="str">
        <f t="shared" si="71"/>
        <v>5.G</v>
      </c>
    </row>
    <row r="595" spans="3:15" x14ac:dyDescent="0.25">
      <c r="C595" s="9">
        <v>724</v>
      </c>
      <c r="D595" s="16">
        <v>6971</v>
      </c>
      <c r="E595" s="10" t="str">
        <f t="shared" si="66"/>
        <v>6971</v>
      </c>
      <c r="F595" s="10" t="str">
        <f t="shared" si="67"/>
        <v>697</v>
      </c>
      <c r="G595" s="10">
        <f t="shared" si="69"/>
        <v>0</v>
      </c>
      <c r="H595" s="10" t="b">
        <f>IF(ISERROR(VLOOKUP(E595,cuentas_pyme!C:C,1,FALSE)),FALSE,TRUE)</f>
        <v>1</v>
      </c>
      <c r="I595" s="10"/>
      <c r="J595" s="11" t="s">
        <v>2452</v>
      </c>
      <c r="K595" s="10" t="str">
        <f t="shared" si="70"/>
        <v>5.G.697</v>
      </c>
      <c r="L595" s="10" t="str">
        <f t="shared" si="72"/>
        <v>5.G.697</v>
      </c>
      <c r="M595" s="12" t="s">
        <v>2117</v>
      </c>
      <c r="N595" t="s">
        <v>1585</v>
      </c>
      <c r="O595" t="str">
        <f t="shared" si="71"/>
        <v>5.G</v>
      </c>
    </row>
    <row r="596" spans="3:15" x14ac:dyDescent="0.25">
      <c r="C596" s="9">
        <v>725</v>
      </c>
      <c r="D596" s="16">
        <v>6972</v>
      </c>
      <c r="E596" s="10" t="str">
        <f t="shared" si="66"/>
        <v>6972</v>
      </c>
      <c r="F596" s="10" t="str">
        <f t="shared" si="67"/>
        <v>697</v>
      </c>
      <c r="G596" s="10">
        <f t="shared" si="69"/>
        <v>0</v>
      </c>
      <c r="H596" s="10" t="b">
        <f>IF(ISERROR(VLOOKUP(E596,cuentas_pyme!C:C,1,FALSE)),FALSE,TRUE)</f>
        <v>1</v>
      </c>
      <c r="I596" s="10"/>
      <c r="J596" s="11" t="s">
        <v>2453</v>
      </c>
      <c r="K596" s="10" t="str">
        <f t="shared" si="70"/>
        <v>5.G.697</v>
      </c>
      <c r="L596" s="10" t="str">
        <f t="shared" si="72"/>
        <v>5.G.697</v>
      </c>
      <c r="M596" s="12" t="s">
        <v>2118</v>
      </c>
      <c r="N596" t="s">
        <v>1585</v>
      </c>
      <c r="O596" t="str">
        <f t="shared" si="71"/>
        <v>5.G</v>
      </c>
    </row>
    <row r="597" spans="3:15" x14ac:dyDescent="0.25">
      <c r="C597" s="9">
        <v>726</v>
      </c>
      <c r="D597" s="16">
        <v>6973</v>
      </c>
      <c r="E597" s="10" t="str">
        <f t="shared" si="66"/>
        <v>6973</v>
      </c>
      <c r="F597" s="10" t="str">
        <f t="shared" si="67"/>
        <v>697</v>
      </c>
      <c r="G597" s="10">
        <f t="shared" si="69"/>
        <v>0</v>
      </c>
      <c r="H597" s="10" t="b">
        <f>IF(ISERROR(VLOOKUP(E597,cuentas_pyme!C:C,1,FALSE)),FALSE,TRUE)</f>
        <v>1</v>
      </c>
      <c r="I597" s="10"/>
      <c r="J597" s="11" t="s">
        <v>2454</v>
      </c>
      <c r="K597" s="10" t="str">
        <f t="shared" si="70"/>
        <v>5.G.697</v>
      </c>
      <c r="L597" s="10" t="str">
        <f t="shared" si="72"/>
        <v>5.G.697</v>
      </c>
      <c r="M597" s="12" t="s">
        <v>2119</v>
      </c>
      <c r="N597" t="s">
        <v>1585</v>
      </c>
      <c r="O597" t="str">
        <f t="shared" si="71"/>
        <v>5.G</v>
      </c>
    </row>
    <row r="598" spans="3:15" x14ac:dyDescent="0.25">
      <c r="C598" s="9">
        <v>727</v>
      </c>
      <c r="D598" s="16">
        <v>698</v>
      </c>
      <c r="E598" s="10" t="str">
        <f t="shared" si="66"/>
        <v>698</v>
      </c>
      <c r="F598" s="10" t="str">
        <f t="shared" si="67"/>
        <v>69</v>
      </c>
      <c r="G598" s="10">
        <f t="shared" si="69"/>
        <v>1</v>
      </c>
      <c r="H598" s="10" t="b">
        <f>IF(ISERROR(VLOOKUP(E598,cuentas_pyme!C:C,1,FALSE)),FALSE,TRUE)</f>
        <v>1</v>
      </c>
      <c r="I598" s="10"/>
      <c r="J598" s="11" t="s">
        <v>2302</v>
      </c>
      <c r="K598" s="10" t="str">
        <f t="shared" si="70"/>
        <v>5.G.69</v>
      </c>
      <c r="L598" s="10" t="str">
        <f t="shared" si="72"/>
        <v>5.G.69</v>
      </c>
      <c r="M598" s="12" t="s">
        <v>2120</v>
      </c>
      <c r="N598" t="s">
        <v>1585</v>
      </c>
      <c r="O598" t="str">
        <f t="shared" si="71"/>
        <v>5.G</v>
      </c>
    </row>
    <row r="599" spans="3:15" x14ac:dyDescent="0.25">
      <c r="C599" s="9">
        <v>728</v>
      </c>
      <c r="D599" s="16">
        <v>6980</v>
      </c>
      <c r="E599" s="10" t="str">
        <f t="shared" si="66"/>
        <v>6980</v>
      </c>
      <c r="F599" s="10" t="str">
        <f t="shared" si="67"/>
        <v>698</v>
      </c>
      <c r="G599" s="10">
        <f t="shared" si="69"/>
        <v>0</v>
      </c>
      <c r="H599" s="10" t="b">
        <f>IF(ISERROR(VLOOKUP(E599,cuentas_pyme!C:C,1,FALSE)),FALSE,TRUE)</f>
        <v>1</v>
      </c>
      <c r="I599" s="10"/>
      <c r="J599" s="11" t="s">
        <v>2455</v>
      </c>
      <c r="K599" s="10" t="str">
        <f t="shared" si="70"/>
        <v>5.G.698</v>
      </c>
      <c r="L599" s="10" t="str">
        <f t="shared" si="72"/>
        <v>5.G.698</v>
      </c>
      <c r="M599" s="12" t="s">
        <v>2121</v>
      </c>
      <c r="N599" t="s">
        <v>1585</v>
      </c>
      <c r="O599" t="str">
        <f t="shared" si="71"/>
        <v>5.G</v>
      </c>
    </row>
    <row r="600" spans="3:15" x14ac:dyDescent="0.25">
      <c r="C600" s="9">
        <v>729</v>
      </c>
      <c r="D600" s="16">
        <v>6981</v>
      </c>
      <c r="E600" s="10" t="str">
        <f t="shared" si="66"/>
        <v>6981</v>
      </c>
      <c r="F600" s="10" t="str">
        <f t="shared" si="67"/>
        <v>698</v>
      </c>
      <c r="G600" s="10">
        <f t="shared" si="69"/>
        <v>0</v>
      </c>
      <c r="H600" s="10" t="b">
        <f>IF(ISERROR(VLOOKUP(E600,cuentas_pyme!C:C,1,FALSE)),FALSE,TRUE)</f>
        <v>1</v>
      </c>
      <c r="I600" s="10"/>
      <c r="J600" s="11" t="s">
        <v>2456</v>
      </c>
      <c r="K600" s="10" t="str">
        <f t="shared" si="70"/>
        <v>5.G.698</v>
      </c>
      <c r="L600" s="10" t="str">
        <f t="shared" si="72"/>
        <v>5.G.698</v>
      </c>
      <c r="M600" s="12" t="s">
        <v>2122</v>
      </c>
      <c r="N600" t="s">
        <v>1585</v>
      </c>
      <c r="O600" t="str">
        <f t="shared" si="71"/>
        <v>5.G</v>
      </c>
    </row>
    <row r="601" spans="3:15" x14ac:dyDescent="0.25">
      <c r="C601" s="9">
        <v>730</v>
      </c>
      <c r="D601" s="16">
        <v>6985</v>
      </c>
      <c r="E601" s="10" t="str">
        <f t="shared" si="66"/>
        <v>6985</v>
      </c>
      <c r="F601" s="10" t="str">
        <f t="shared" si="67"/>
        <v>698</v>
      </c>
      <c r="G601" s="10">
        <f t="shared" si="69"/>
        <v>0</v>
      </c>
      <c r="H601" s="10" t="b">
        <f>IF(ISERROR(VLOOKUP(E601,cuentas_pyme!C:C,1,FALSE)),FALSE,TRUE)</f>
        <v>1</v>
      </c>
      <c r="I601" s="10"/>
      <c r="J601" s="11" t="s">
        <v>2457</v>
      </c>
      <c r="K601" s="10" t="str">
        <f t="shared" si="70"/>
        <v>5.G.698</v>
      </c>
      <c r="L601" s="10" t="str">
        <f t="shared" si="72"/>
        <v>5.G.698</v>
      </c>
      <c r="M601" s="12" t="s">
        <v>2123</v>
      </c>
      <c r="N601" t="s">
        <v>1585</v>
      </c>
      <c r="O601" t="str">
        <f t="shared" si="71"/>
        <v>5.G</v>
      </c>
    </row>
    <row r="602" spans="3:15" x14ac:dyDescent="0.25">
      <c r="C602" s="9">
        <v>731</v>
      </c>
      <c r="D602" s="16">
        <v>6986</v>
      </c>
      <c r="E602" s="10" t="str">
        <f t="shared" si="66"/>
        <v>6986</v>
      </c>
      <c r="F602" s="10" t="str">
        <f t="shared" si="67"/>
        <v>698</v>
      </c>
      <c r="G602" s="10">
        <f t="shared" si="69"/>
        <v>0</v>
      </c>
      <c r="H602" s="10" t="b">
        <f>IF(ISERROR(VLOOKUP(E602,cuentas_pyme!C:C,1,FALSE)),FALSE,TRUE)</f>
        <v>1</v>
      </c>
      <c r="I602" s="10"/>
      <c r="J602" s="11" t="s">
        <v>2458</v>
      </c>
      <c r="K602" s="10" t="str">
        <f t="shared" si="70"/>
        <v>5.G.698</v>
      </c>
      <c r="L602" s="10" t="str">
        <f t="shared" si="72"/>
        <v>5.G.698</v>
      </c>
      <c r="M602" s="12" t="s">
        <v>2124</v>
      </c>
      <c r="N602" t="s">
        <v>1585</v>
      </c>
      <c r="O602" t="str">
        <f t="shared" si="71"/>
        <v>5.G</v>
      </c>
    </row>
    <row r="603" spans="3:15" x14ac:dyDescent="0.25">
      <c r="C603" s="9">
        <v>732</v>
      </c>
      <c r="D603" s="16">
        <v>6987</v>
      </c>
      <c r="E603" s="10" t="str">
        <f t="shared" si="66"/>
        <v>6987</v>
      </c>
      <c r="F603" s="10" t="str">
        <f t="shared" si="67"/>
        <v>698</v>
      </c>
      <c r="G603" s="10">
        <f t="shared" si="69"/>
        <v>0</v>
      </c>
      <c r="H603" s="10" t="b">
        <f>IF(ISERROR(VLOOKUP(E603,cuentas_pyme!C:C,1,FALSE)),FALSE,TRUE)</f>
        <v>1</v>
      </c>
      <c r="I603" s="10"/>
      <c r="J603" s="11" t="s">
        <v>2459</v>
      </c>
      <c r="K603" s="10" t="str">
        <f t="shared" si="70"/>
        <v>5.G.698</v>
      </c>
      <c r="L603" s="10" t="str">
        <f t="shared" si="72"/>
        <v>5.G.698</v>
      </c>
      <c r="M603" s="12" t="s">
        <v>2125</v>
      </c>
      <c r="N603" t="s">
        <v>1585</v>
      </c>
      <c r="O603" t="str">
        <f t="shared" si="71"/>
        <v>5.G</v>
      </c>
    </row>
    <row r="604" spans="3:15" x14ac:dyDescent="0.25">
      <c r="C604" s="9">
        <v>733</v>
      </c>
      <c r="D604" s="16">
        <v>6988</v>
      </c>
      <c r="E604" s="10" t="str">
        <f t="shared" si="66"/>
        <v>6988</v>
      </c>
      <c r="F604" s="10" t="str">
        <f t="shared" si="67"/>
        <v>698</v>
      </c>
      <c r="G604" s="10">
        <f t="shared" si="69"/>
        <v>0</v>
      </c>
      <c r="H604" s="10" t="b">
        <f>IF(ISERROR(VLOOKUP(E604,cuentas_pyme!C:C,1,FALSE)),FALSE,TRUE)</f>
        <v>1</v>
      </c>
      <c r="I604" s="10"/>
      <c r="J604" s="11" t="s">
        <v>2460</v>
      </c>
      <c r="K604" s="10" t="str">
        <f t="shared" si="70"/>
        <v>5.G.698</v>
      </c>
      <c r="L604" s="10" t="str">
        <f t="shared" si="72"/>
        <v>5.G.698</v>
      </c>
      <c r="M604" s="12" t="s">
        <v>2126</v>
      </c>
      <c r="N604" t="s">
        <v>1585</v>
      </c>
      <c r="O604" t="str">
        <f t="shared" si="71"/>
        <v>5.G</v>
      </c>
    </row>
    <row r="605" spans="3:15" x14ac:dyDescent="0.25">
      <c r="C605" s="9">
        <v>734</v>
      </c>
      <c r="D605" s="16">
        <v>699</v>
      </c>
      <c r="E605" s="10" t="str">
        <f t="shared" si="66"/>
        <v>699</v>
      </c>
      <c r="F605" s="10" t="str">
        <f t="shared" si="67"/>
        <v>69</v>
      </c>
      <c r="G605" s="10">
        <f t="shared" si="69"/>
        <v>1</v>
      </c>
      <c r="H605" s="10" t="b">
        <f>IF(ISERROR(VLOOKUP(E605,cuentas_pyme!C:C,1,FALSE)),FALSE,TRUE)</f>
        <v>1</v>
      </c>
      <c r="I605" s="10"/>
      <c r="J605" s="11" t="s">
        <v>2303</v>
      </c>
      <c r="K605" s="10" t="str">
        <f t="shared" si="70"/>
        <v>5.G.69</v>
      </c>
      <c r="L605" s="10" t="str">
        <f t="shared" si="72"/>
        <v>5.G.69</v>
      </c>
      <c r="M605" s="12" t="s">
        <v>2127</v>
      </c>
      <c r="N605" t="s">
        <v>1585</v>
      </c>
      <c r="O605" t="str">
        <f t="shared" si="71"/>
        <v>5.G</v>
      </c>
    </row>
    <row r="606" spans="3:15" x14ac:dyDescent="0.25">
      <c r="C606" s="9">
        <v>735</v>
      </c>
      <c r="D606" s="16">
        <v>6990</v>
      </c>
      <c r="E606" s="10" t="str">
        <f t="shared" si="66"/>
        <v>6990</v>
      </c>
      <c r="F606" s="10" t="str">
        <f t="shared" si="67"/>
        <v>699</v>
      </c>
      <c r="G606" s="10">
        <f t="shared" si="69"/>
        <v>0</v>
      </c>
      <c r="H606" s="10" t="b">
        <f>IF(ISERROR(VLOOKUP(E606,cuentas_pyme!C:C,1,FALSE)),FALSE,TRUE)</f>
        <v>1</v>
      </c>
      <c r="I606" s="10"/>
      <c r="J606" s="11" t="s">
        <v>2461</v>
      </c>
      <c r="K606" s="10" t="str">
        <f t="shared" si="70"/>
        <v>5.G.699</v>
      </c>
      <c r="L606" s="10" t="str">
        <f t="shared" si="72"/>
        <v>5.G.699</v>
      </c>
      <c r="M606" s="12" t="s">
        <v>2128</v>
      </c>
      <c r="N606" t="s">
        <v>1585</v>
      </c>
      <c r="O606" t="str">
        <f t="shared" si="71"/>
        <v>5.G</v>
      </c>
    </row>
    <row r="607" spans="3:15" x14ac:dyDescent="0.25">
      <c r="C607" s="9">
        <v>736</v>
      </c>
      <c r="D607" s="16">
        <v>6991</v>
      </c>
      <c r="E607" s="10" t="str">
        <f t="shared" si="66"/>
        <v>6991</v>
      </c>
      <c r="F607" s="10" t="str">
        <f t="shared" si="67"/>
        <v>699</v>
      </c>
      <c r="G607" s="10">
        <f t="shared" si="69"/>
        <v>0</v>
      </c>
      <c r="H607" s="10" t="b">
        <f>IF(ISERROR(VLOOKUP(E607,cuentas_pyme!C:C,1,FALSE)),FALSE,TRUE)</f>
        <v>1</v>
      </c>
      <c r="I607" s="10"/>
      <c r="J607" s="11" t="s">
        <v>2462</v>
      </c>
      <c r="K607" s="10" t="str">
        <f t="shared" si="70"/>
        <v>5.G.699</v>
      </c>
      <c r="L607" s="10" t="str">
        <f t="shared" si="72"/>
        <v>5.G.699</v>
      </c>
      <c r="M607" s="12" t="s">
        <v>2129</v>
      </c>
      <c r="N607" t="s">
        <v>1585</v>
      </c>
      <c r="O607" t="str">
        <f t="shared" si="71"/>
        <v>5.G</v>
      </c>
    </row>
    <row r="608" spans="3:15" x14ac:dyDescent="0.25">
      <c r="C608" s="9">
        <v>737</v>
      </c>
      <c r="D608" s="16">
        <v>6992</v>
      </c>
      <c r="E608" s="10" t="str">
        <f t="shared" si="66"/>
        <v>6992</v>
      </c>
      <c r="F608" s="10" t="str">
        <f t="shared" si="67"/>
        <v>699</v>
      </c>
      <c r="G608" s="10">
        <f t="shared" si="69"/>
        <v>0</v>
      </c>
      <c r="H608" s="10" t="b">
        <f>IF(ISERROR(VLOOKUP(E608,cuentas_pyme!C:C,1,FALSE)),FALSE,TRUE)</f>
        <v>1</v>
      </c>
      <c r="I608" s="10"/>
      <c r="J608" s="11" t="s">
        <v>2463</v>
      </c>
      <c r="K608" s="10" t="str">
        <f t="shared" si="70"/>
        <v>5.G.699</v>
      </c>
      <c r="L608" s="10" t="str">
        <f t="shared" si="72"/>
        <v>5.G.699</v>
      </c>
      <c r="M608" s="12" t="s">
        <v>2130</v>
      </c>
      <c r="N608" t="s">
        <v>1585</v>
      </c>
      <c r="O608" t="str">
        <f t="shared" si="71"/>
        <v>5.G</v>
      </c>
    </row>
    <row r="609" spans="3:15" x14ac:dyDescent="0.25">
      <c r="C609" s="9">
        <v>738</v>
      </c>
      <c r="D609" s="16">
        <v>6993</v>
      </c>
      <c r="E609" s="10" t="str">
        <f t="shared" si="66"/>
        <v>6993</v>
      </c>
      <c r="F609" s="10" t="str">
        <f t="shared" si="67"/>
        <v>699</v>
      </c>
      <c r="G609" s="10">
        <f t="shared" si="69"/>
        <v>0</v>
      </c>
      <c r="H609" s="10" t="b">
        <f>IF(ISERROR(VLOOKUP(E609,cuentas_pyme!C:C,1,FALSE)),FALSE,TRUE)</f>
        <v>1</v>
      </c>
      <c r="I609" s="10"/>
      <c r="J609" s="11" t="s">
        <v>2464</v>
      </c>
      <c r="K609" s="10" t="str">
        <f t="shared" si="70"/>
        <v>5.G.699</v>
      </c>
      <c r="L609" s="10" t="str">
        <f t="shared" si="72"/>
        <v>5.G.699</v>
      </c>
      <c r="M609" s="12" t="s">
        <v>2131</v>
      </c>
      <c r="N609" t="s">
        <v>1585</v>
      </c>
      <c r="O609" t="str">
        <f t="shared" si="71"/>
        <v>5.G</v>
      </c>
    </row>
    <row r="610" spans="3:15" x14ac:dyDescent="0.25">
      <c r="C610" s="9">
        <v>740</v>
      </c>
      <c r="D610" s="16">
        <v>70</v>
      </c>
      <c r="E610" s="10" t="str">
        <f t="shared" ref="E610:E672" si="73">TEXT(D610,0)</f>
        <v>70</v>
      </c>
      <c r="F610" s="10" t="str">
        <f t="shared" ref="F610:F672" si="74">LEFT(D610,LEN(D610)-1)</f>
        <v>7</v>
      </c>
      <c r="G610" s="10">
        <f t="shared" si="69"/>
        <v>1</v>
      </c>
      <c r="H610" s="10" t="b">
        <f>IF(ISERROR(VLOOKUP(E610,cuentas_pyme!C:C,1,FALSE)),FALSE,TRUE)</f>
        <v>1</v>
      </c>
      <c r="I610" s="10"/>
      <c r="J610" s="11" t="s">
        <v>2304</v>
      </c>
      <c r="K610" s="10" t="s">
        <v>2267</v>
      </c>
      <c r="L610" s="10" t="str">
        <f t="shared" si="72"/>
        <v>4.I</v>
      </c>
      <c r="M610" s="12" t="s">
        <v>3087</v>
      </c>
      <c r="N610" t="s">
        <v>1586</v>
      </c>
      <c r="O610" t="str">
        <f t="shared" ref="O610:O673" si="75">IFERROR(VLOOKUP(N610,$Q$4:$R$9,2,FALSE),"")</f>
        <v>4.I</v>
      </c>
    </row>
    <row r="611" spans="3:15" x14ac:dyDescent="0.25">
      <c r="C611" s="9">
        <v>741</v>
      </c>
      <c r="D611" s="16">
        <v>700</v>
      </c>
      <c r="E611" s="10" t="str">
        <f t="shared" si="73"/>
        <v>700</v>
      </c>
      <c r="F611" s="10" t="str">
        <f t="shared" si="74"/>
        <v>70</v>
      </c>
      <c r="G611" s="10">
        <f t="shared" si="69"/>
        <v>0</v>
      </c>
      <c r="H611" s="10" t="b">
        <f>IF(ISERROR(VLOOKUP(E611,cuentas_pyme!C:C,1,FALSE)),FALSE,TRUE)</f>
        <v>1</v>
      </c>
      <c r="I611" s="10"/>
      <c r="J611" s="11" t="s">
        <v>2465</v>
      </c>
      <c r="K611" s="10" t="str">
        <f t="shared" si="70"/>
        <v>4.I.70</v>
      </c>
      <c r="L611" s="10" t="str">
        <f t="shared" si="72"/>
        <v>4.I.70</v>
      </c>
      <c r="M611" s="12" t="s">
        <v>2132</v>
      </c>
      <c r="N611" t="s">
        <v>1586</v>
      </c>
      <c r="O611" t="str">
        <f t="shared" si="75"/>
        <v>4.I</v>
      </c>
    </row>
    <row r="612" spans="3:15" x14ac:dyDescent="0.25">
      <c r="C612" s="9">
        <v>742</v>
      </c>
      <c r="D612" s="16">
        <v>701</v>
      </c>
      <c r="E612" s="10" t="str">
        <f t="shared" si="73"/>
        <v>701</v>
      </c>
      <c r="F612" s="10" t="str">
        <f t="shared" si="74"/>
        <v>70</v>
      </c>
      <c r="G612" s="10">
        <f t="shared" si="69"/>
        <v>0</v>
      </c>
      <c r="H612" s="10" t="b">
        <f>IF(ISERROR(VLOOKUP(E612,cuentas_pyme!C:C,1,FALSE)),FALSE,TRUE)</f>
        <v>1</v>
      </c>
      <c r="I612" s="10"/>
      <c r="J612" s="11" t="s">
        <v>2466</v>
      </c>
      <c r="K612" s="10" t="str">
        <f t="shared" si="70"/>
        <v>4.I.70</v>
      </c>
      <c r="L612" s="10" t="str">
        <f t="shared" si="72"/>
        <v>4.I.70</v>
      </c>
      <c r="M612" s="12" t="s">
        <v>2133</v>
      </c>
      <c r="N612" t="s">
        <v>1586</v>
      </c>
      <c r="O612" t="str">
        <f t="shared" si="75"/>
        <v>4.I</v>
      </c>
    </row>
    <row r="613" spans="3:15" x14ac:dyDescent="0.25">
      <c r="C613" s="9">
        <v>743</v>
      </c>
      <c r="D613" s="16">
        <v>702</v>
      </c>
      <c r="E613" s="10" t="str">
        <f t="shared" si="73"/>
        <v>702</v>
      </c>
      <c r="F613" s="10" t="str">
        <f t="shared" si="74"/>
        <v>70</v>
      </c>
      <c r="G613" s="10">
        <f t="shared" si="69"/>
        <v>0</v>
      </c>
      <c r="H613" s="10" t="b">
        <f>IF(ISERROR(VLOOKUP(E613,cuentas_pyme!C:C,1,FALSE)),FALSE,TRUE)</f>
        <v>1</v>
      </c>
      <c r="I613" s="10"/>
      <c r="J613" s="11" t="s">
        <v>2467</v>
      </c>
      <c r="K613" s="10" t="str">
        <f t="shared" si="70"/>
        <v>4.I.70</v>
      </c>
      <c r="L613" s="10" t="str">
        <f t="shared" si="72"/>
        <v>4.I.70</v>
      </c>
      <c r="M613" s="12" t="s">
        <v>2134</v>
      </c>
      <c r="N613" t="s">
        <v>1586</v>
      </c>
      <c r="O613" t="str">
        <f t="shared" si="75"/>
        <v>4.I</v>
      </c>
    </row>
    <row r="614" spans="3:15" x14ac:dyDescent="0.25">
      <c r="C614" s="9">
        <v>744</v>
      </c>
      <c r="D614" s="16">
        <v>703</v>
      </c>
      <c r="E614" s="10" t="str">
        <f t="shared" si="73"/>
        <v>703</v>
      </c>
      <c r="F614" s="10" t="str">
        <f t="shared" si="74"/>
        <v>70</v>
      </c>
      <c r="G614" s="10">
        <f t="shared" si="69"/>
        <v>0</v>
      </c>
      <c r="H614" s="10" t="b">
        <f>IF(ISERROR(VLOOKUP(E614,cuentas_pyme!C:C,1,FALSE)),FALSE,TRUE)</f>
        <v>1</v>
      </c>
      <c r="I614" s="10"/>
      <c r="J614" s="11" t="s">
        <v>2468</v>
      </c>
      <c r="K614" s="10" t="str">
        <f t="shared" si="70"/>
        <v>4.I.70</v>
      </c>
      <c r="L614" s="10" t="str">
        <f t="shared" si="72"/>
        <v>4.I.70</v>
      </c>
      <c r="M614" s="12" t="s">
        <v>2135</v>
      </c>
      <c r="N614" t="s">
        <v>1586</v>
      </c>
      <c r="O614" t="str">
        <f t="shared" si="75"/>
        <v>4.I</v>
      </c>
    </row>
    <row r="615" spans="3:15" x14ac:dyDescent="0.25">
      <c r="C615" s="9">
        <v>745</v>
      </c>
      <c r="D615" s="16">
        <v>704</v>
      </c>
      <c r="E615" s="10" t="str">
        <f t="shared" si="73"/>
        <v>704</v>
      </c>
      <c r="F615" s="10" t="str">
        <f t="shared" si="74"/>
        <v>70</v>
      </c>
      <c r="G615" s="10">
        <f t="shared" si="69"/>
        <v>0</v>
      </c>
      <c r="H615" s="10" t="b">
        <f>IF(ISERROR(VLOOKUP(E615,cuentas_pyme!C:C,1,FALSE)),FALSE,TRUE)</f>
        <v>1</v>
      </c>
      <c r="I615" s="10"/>
      <c r="J615" s="11" t="s">
        <v>2469</v>
      </c>
      <c r="K615" s="10" t="str">
        <f t="shared" si="70"/>
        <v>4.I.70</v>
      </c>
      <c r="L615" s="10" t="str">
        <f t="shared" si="72"/>
        <v>4.I.70</v>
      </c>
      <c r="M615" s="12" t="s">
        <v>2136</v>
      </c>
      <c r="N615" t="s">
        <v>1586</v>
      </c>
      <c r="O615" t="str">
        <f t="shared" si="75"/>
        <v>4.I</v>
      </c>
    </row>
    <row r="616" spans="3:15" x14ac:dyDescent="0.25">
      <c r="C616" s="9">
        <v>746</v>
      </c>
      <c r="D616" s="16">
        <v>705</v>
      </c>
      <c r="E616" s="10" t="str">
        <f t="shared" si="73"/>
        <v>705</v>
      </c>
      <c r="F616" s="10" t="str">
        <f t="shared" si="74"/>
        <v>70</v>
      </c>
      <c r="G616" s="10">
        <f t="shared" si="69"/>
        <v>0</v>
      </c>
      <c r="H616" s="10" t="b">
        <f>IF(ISERROR(VLOOKUP(E616,cuentas_pyme!C:C,1,FALSE)),FALSE,TRUE)</f>
        <v>1</v>
      </c>
      <c r="I616" s="10"/>
      <c r="J616" s="11" t="s">
        <v>2470</v>
      </c>
      <c r="K616" s="10" t="str">
        <f t="shared" si="70"/>
        <v>4.I.70</v>
      </c>
      <c r="L616" s="10" t="str">
        <f t="shared" si="72"/>
        <v>4.I.70</v>
      </c>
      <c r="M616" s="12" t="s">
        <v>2137</v>
      </c>
      <c r="N616" t="s">
        <v>1586</v>
      </c>
      <c r="O616" t="str">
        <f t="shared" si="75"/>
        <v>4.I</v>
      </c>
    </row>
    <row r="617" spans="3:15" x14ac:dyDescent="0.25">
      <c r="C617" s="9">
        <v>747</v>
      </c>
      <c r="D617" s="16">
        <v>706</v>
      </c>
      <c r="E617" s="10" t="str">
        <f t="shared" si="73"/>
        <v>706</v>
      </c>
      <c r="F617" s="10" t="str">
        <f t="shared" si="74"/>
        <v>70</v>
      </c>
      <c r="G617" s="10">
        <f t="shared" si="69"/>
        <v>1</v>
      </c>
      <c r="H617" s="10" t="b">
        <f>IF(ISERROR(VLOOKUP(E617,cuentas_pyme!C:C,1,FALSE)),FALSE,TRUE)</f>
        <v>1</v>
      </c>
      <c r="I617" s="10"/>
      <c r="J617" s="11" t="s">
        <v>2305</v>
      </c>
      <c r="K617" s="10" t="str">
        <f t="shared" si="70"/>
        <v>4.I.70</v>
      </c>
      <c r="L617" s="10" t="str">
        <f t="shared" si="72"/>
        <v>4.I.70</v>
      </c>
      <c r="M617" s="12" t="s">
        <v>2138</v>
      </c>
      <c r="N617" t="s">
        <v>1586</v>
      </c>
      <c r="O617" t="str">
        <f t="shared" si="75"/>
        <v>4.I</v>
      </c>
    </row>
    <row r="618" spans="3:15" x14ac:dyDescent="0.25">
      <c r="C618" s="9">
        <v>748</v>
      </c>
      <c r="D618" s="16">
        <v>7060</v>
      </c>
      <c r="E618" s="10" t="str">
        <f t="shared" si="73"/>
        <v>7060</v>
      </c>
      <c r="F618" s="10" t="str">
        <f t="shared" si="74"/>
        <v>706</v>
      </c>
      <c r="G618" s="10">
        <f t="shared" si="69"/>
        <v>0</v>
      </c>
      <c r="H618" s="10" t="b">
        <f>IF(ISERROR(VLOOKUP(E618,cuentas_pyme!C:C,1,FALSE)),FALSE,TRUE)</f>
        <v>1</v>
      </c>
      <c r="I618" s="10"/>
      <c r="J618" s="11" t="s">
        <v>2471</v>
      </c>
      <c r="K618" s="10" t="str">
        <f t="shared" si="70"/>
        <v>4.I.706</v>
      </c>
      <c r="L618" s="10" t="str">
        <f t="shared" si="72"/>
        <v>4.I.706</v>
      </c>
      <c r="M618" s="12" t="s">
        <v>2139</v>
      </c>
      <c r="N618" t="s">
        <v>1586</v>
      </c>
      <c r="O618" t="str">
        <f t="shared" si="75"/>
        <v>4.I</v>
      </c>
    </row>
    <row r="619" spans="3:15" x14ac:dyDescent="0.25">
      <c r="C619" s="9">
        <v>749</v>
      </c>
      <c r="D619" s="16">
        <v>7061</v>
      </c>
      <c r="E619" s="10" t="str">
        <f t="shared" si="73"/>
        <v>7061</v>
      </c>
      <c r="F619" s="10" t="str">
        <f t="shared" si="74"/>
        <v>706</v>
      </c>
      <c r="G619" s="10">
        <f t="shared" si="69"/>
        <v>0</v>
      </c>
      <c r="H619" s="10" t="b">
        <f>IF(ISERROR(VLOOKUP(E619,cuentas_pyme!C:C,1,FALSE)),FALSE,TRUE)</f>
        <v>1</v>
      </c>
      <c r="I619" s="10"/>
      <c r="J619" s="11" t="s">
        <v>2472</v>
      </c>
      <c r="K619" s="10" t="str">
        <f t="shared" si="70"/>
        <v>4.I.706</v>
      </c>
      <c r="L619" s="10" t="str">
        <f t="shared" si="72"/>
        <v>4.I.706</v>
      </c>
      <c r="M619" s="12" t="s">
        <v>2140</v>
      </c>
      <c r="N619" t="s">
        <v>1586</v>
      </c>
      <c r="O619" t="str">
        <f t="shared" si="75"/>
        <v>4.I</v>
      </c>
    </row>
    <row r="620" spans="3:15" x14ac:dyDescent="0.25">
      <c r="C620" s="9">
        <v>750</v>
      </c>
      <c r="D620" s="16">
        <v>7062</v>
      </c>
      <c r="E620" s="10" t="str">
        <f t="shared" si="73"/>
        <v>7062</v>
      </c>
      <c r="F620" s="10" t="str">
        <f t="shared" si="74"/>
        <v>706</v>
      </c>
      <c r="G620" s="10">
        <f t="shared" si="69"/>
        <v>0</v>
      </c>
      <c r="H620" s="10" t="b">
        <f>IF(ISERROR(VLOOKUP(E620,cuentas_pyme!C:C,1,FALSE)),FALSE,TRUE)</f>
        <v>1</v>
      </c>
      <c r="I620" s="10"/>
      <c r="J620" s="11" t="s">
        <v>2473</v>
      </c>
      <c r="K620" s="10" t="str">
        <f t="shared" si="70"/>
        <v>4.I.706</v>
      </c>
      <c r="L620" s="10" t="str">
        <f t="shared" si="72"/>
        <v>4.I.706</v>
      </c>
      <c r="M620" s="12" t="s">
        <v>2141</v>
      </c>
      <c r="N620" t="s">
        <v>1586</v>
      </c>
      <c r="O620" t="str">
        <f t="shared" si="75"/>
        <v>4.I</v>
      </c>
    </row>
    <row r="621" spans="3:15" x14ac:dyDescent="0.25">
      <c r="C621" s="9">
        <v>751</v>
      </c>
      <c r="D621" s="16">
        <v>7063</v>
      </c>
      <c r="E621" s="10" t="str">
        <f t="shared" si="73"/>
        <v>7063</v>
      </c>
      <c r="F621" s="10" t="str">
        <f t="shared" si="74"/>
        <v>706</v>
      </c>
      <c r="G621" s="10">
        <f t="shared" si="69"/>
        <v>0</v>
      </c>
      <c r="H621" s="10" t="b">
        <f>IF(ISERROR(VLOOKUP(E621,cuentas_pyme!C:C,1,FALSE)),FALSE,TRUE)</f>
        <v>1</v>
      </c>
      <c r="I621" s="10"/>
      <c r="J621" s="11" t="s">
        <v>2474</v>
      </c>
      <c r="K621" s="10" t="str">
        <f t="shared" si="70"/>
        <v>4.I.706</v>
      </c>
      <c r="L621" s="10" t="str">
        <f t="shared" si="72"/>
        <v>4.I.706</v>
      </c>
      <c r="M621" s="12" t="s">
        <v>2142</v>
      </c>
      <c r="N621" t="s">
        <v>1586</v>
      </c>
      <c r="O621" t="str">
        <f t="shared" si="75"/>
        <v>4.I</v>
      </c>
    </row>
    <row r="622" spans="3:15" x14ac:dyDescent="0.25">
      <c r="C622" s="9">
        <v>752</v>
      </c>
      <c r="D622" s="16">
        <v>708</v>
      </c>
      <c r="E622" s="10" t="str">
        <f t="shared" si="73"/>
        <v>708</v>
      </c>
      <c r="F622" s="10" t="str">
        <f t="shared" si="74"/>
        <v>70</v>
      </c>
      <c r="G622" s="10">
        <f t="shared" si="69"/>
        <v>1</v>
      </c>
      <c r="H622" s="10" t="b">
        <f>IF(ISERROR(VLOOKUP(E622,cuentas_pyme!C:C,1,FALSE)),FALSE,TRUE)</f>
        <v>1</v>
      </c>
      <c r="I622" s="10"/>
      <c r="J622" s="11" t="s">
        <v>2306</v>
      </c>
      <c r="K622" s="10" t="str">
        <f t="shared" si="70"/>
        <v>4.I.70</v>
      </c>
      <c r="L622" s="10" t="str">
        <f t="shared" si="72"/>
        <v>4.I.70</v>
      </c>
      <c r="M622" s="12" t="s">
        <v>2143</v>
      </c>
      <c r="N622" t="s">
        <v>1586</v>
      </c>
      <c r="O622" t="str">
        <f t="shared" si="75"/>
        <v>4.I</v>
      </c>
    </row>
    <row r="623" spans="3:15" x14ac:dyDescent="0.25">
      <c r="C623" s="9">
        <v>753</v>
      </c>
      <c r="D623" s="16">
        <v>7080</v>
      </c>
      <c r="E623" s="10" t="str">
        <f t="shared" si="73"/>
        <v>7080</v>
      </c>
      <c r="F623" s="10" t="str">
        <f t="shared" si="74"/>
        <v>708</v>
      </c>
      <c r="G623" s="10">
        <f t="shared" si="69"/>
        <v>0</v>
      </c>
      <c r="H623" s="10" t="b">
        <f>IF(ISERROR(VLOOKUP(E623,cuentas_pyme!C:C,1,FALSE)),FALSE,TRUE)</f>
        <v>1</v>
      </c>
      <c r="I623" s="10"/>
      <c r="J623" s="11" t="s">
        <v>2475</v>
      </c>
      <c r="K623" s="10" t="str">
        <f t="shared" si="70"/>
        <v>4.I.708</v>
      </c>
      <c r="L623" s="10" t="str">
        <f t="shared" si="72"/>
        <v>4.I.708</v>
      </c>
      <c r="M623" s="12" t="s">
        <v>2144</v>
      </c>
      <c r="N623" t="s">
        <v>1586</v>
      </c>
      <c r="O623" t="str">
        <f t="shared" si="75"/>
        <v>4.I</v>
      </c>
    </row>
    <row r="624" spans="3:15" x14ac:dyDescent="0.25">
      <c r="C624" s="9">
        <v>754</v>
      </c>
      <c r="D624" s="16">
        <v>7081</v>
      </c>
      <c r="E624" s="10" t="str">
        <f t="shared" si="73"/>
        <v>7081</v>
      </c>
      <c r="F624" s="10" t="str">
        <f t="shared" si="74"/>
        <v>708</v>
      </c>
      <c r="G624" s="10">
        <f t="shared" si="69"/>
        <v>0</v>
      </c>
      <c r="H624" s="10" t="b">
        <f>IF(ISERROR(VLOOKUP(E624,cuentas_pyme!C:C,1,FALSE)),FALSE,TRUE)</f>
        <v>1</v>
      </c>
      <c r="I624" s="10"/>
      <c r="J624" s="11" t="s">
        <v>2476</v>
      </c>
      <c r="K624" s="10" t="str">
        <f t="shared" si="70"/>
        <v>4.I.708</v>
      </c>
      <c r="L624" s="10" t="str">
        <f t="shared" si="72"/>
        <v>4.I.708</v>
      </c>
      <c r="M624" s="12" t="s">
        <v>2145</v>
      </c>
      <c r="N624" t="s">
        <v>1586</v>
      </c>
      <c r="O624" t="str">
        <f t="shared" si="75"/>
        <v>4.I</v>
      </c>
    </row>
    <row r="625" spans="3:15" x14ac:dyDescent="0.25">
      <c r="C625" s="9">
        <v>755</v>
      </c>
      <c r="D625" s="16">
        <v>7082</v>
      </c>
      <c r="E625" s="10" t="str">
        <f t="shared" si="73"/>
        <v>7082</v>
      </c>
      <c r="F625" s="10" t="str">
        <f t="shared" si="74"/>
        <v>708</v>
      </c>
      <c r="G625" s="10">
        <f t="shared" si="69"/>
        <v>0</v>
      </c>
      <c r="H625" s="10" t="b">
        <f>IF(ISERROR(VLOOKUP(E625,cuentas_pyme!C:C,1,FALSE)),FALSE,TRUE)</f>
        <v>1</v>
      </c>
      <c r="I625" s="10"/>
      <c r="J625" s="11" t="s">
        <v>2477</v>
      </c>
      <c r="K625" s="10" t="str">
        <f t="shared" si="70"/>
        <v>4.I.708</v>
      </c>
      <c r="L625" s="10" t="str">
        <f t="shared" si="72"/>
        <v>4.I.708</v>
      </c>
      <c r="M625" s="12" t="s">
        <v>2146</v>
      </c>
      <c r="N625" t="s">
        <v>1586</v>
      </c>
      <c r="O625" t="str">
        <f t="shared" si="75"/>
        <v>4.I</v>
      </c>
    </row>
    <row r="626" spans="3:15" x14ac:dyDescent="0.25">
      <c r="C626" s="9">
        <v>756</v>
      </c>
      <c r="D626" s="16">
        <v>7083</v>
      </c>
      <c r="E626" s="10" t="str">
        <f t="shared" si="73"/>
        <v>7083</v>
      </c>
      <c r="F626" s="10" t="str">
        <f t="shared" si="74"/>
        <v>708</v>
      </c>
      <c r="G626" s="10">
        <f t="shared" si="69"/>
        <v>0</v>
      </c>
      <c r="H626" s="10" t="b">
        <f>IF(ISERROR(VLOOKUP(E626,cuentas_pyme!C:C,1,FALSE)),FALSE,TRUE)</f>
        <v>1</v>
      </c>
      <c r="I626" s="10"/>
      <c r="J626" s="11" t="s">
        <v>2478</v>
      </c>
      <c r="K626" s="10" t="str">
        <f t="shared" si="70"/>
        <v>4.I.708</v>
      </c>
      <c r="L626" s="10" t="str">
        <f t="shared" si="72"/>
        <v>4.I.708</v>
      </c>
      <c r="M626" s="12" t="s">
        <v>2147</v>
      </c>
      <c r="N626" t="s">
        <v>1586</v>
      </c>
      <c r="O626" t="str">
        <f t="shared" si="75"/>
        <v>4.I</v>
      </c>
    </row>
    <row r="627" spans="3:15" x14ac:dyDescent="0.25">
      <c r="C627" s="9">
        <v>757</v>
      </c>
      <c r="D627" s="16">
        <v>7084</v>
      </c>
      <c r="E627" s="10" t="str">
        <f t="shared" si="73"/>
        <v>7084</v>
      </c>
      <c r="F627" s="10" t="str">
        <f t="shared" si="74"/>
        <v>708</v>
      </c>
      <c r="G627" s="10">
        <f t="shared" si="69"/>
        <v>0</v>
      </c>
      <c r="H627" s="10" t="b">
        <f>IF(ISERROR(VLOOKUP(E627,cuentas_pyme!C:C,1,FALSE)),FALSE,TRUE)</f>
        <v>1</v>
      </c>
      <c r="I627" s="10"/>
      <c r="J627" s="11" t="s">
        <v>2479</v>
      </c>
      <c r="K627" s="10" t="str">
        <f t="shared" si="70"/>
        <v>4.I.708</v>
      </c>
      <c r="L627" s="10" t="str">
        <f t="shared" si="72"/>
        <v>4.I.708</v>
      </c>
      <c r="M627" s="12" t="s">
        <v>2148</v>
      </c>
      <c r="N627" t="s">
        <v>1586</v>
      </c>
      <c r="O627" t="str">
        <f t="shared" si="75"/>
        <v>4.I</v>
      </c>
    </row>
    <row r="628" spans="3:15" x14ac:dyDescent="0.25">
      <c r="C628" s="9">
        <v>758</v>
      </c>
      <c r="D628" s="16">
        <v>709</v>
      </c>
      <c r="E628" s="10" t="str">
        <f t="shared" si="73"/>
        <v>709</v>
      </c>
      <c r="F628" s="10" t="str">
        <f t="shared" si="74"/>
        <v>70</v>
      </c>
      <c r="G628" s="10">
        <f t="shared" si="69"/>
        <v>1</v>
      </c>
      <c r="H628" s="10" t="b">
        <f>IF(ISERROR(VLOOKUP(E628,cuentas_pyme!C:C,1,FALSE)),FALSE,TRUE)</f>
        <v>1</v>
      </c>
      <c r="I628" s="10"/>
      <c r="J628" s="11" t="s">
        <v>2307</v>
      </c>
      <c r="K628" s="10" t="str">
        <f t="shared" si="70"/>
        <v>4.I.70</v>
      </c>
      <c r="L628" s="10" t="str">
        <f t="shared" si="72"/>
        <v>4.I.70</v>
      </c>
      <c r="M628" s="12" t="s">
        <v>2149</v>
      </c>
      <c r="N628" t="s">
        <v>1586</v>
      </c>
      <c r="O628" t="str">
        <f t="shared" si="75"/>
        <v>4.I</v>
      </c>
    </row>
    <row r="629" spans="3:15" x14ac:dyDescent="0.25">
      <c r="C629" s="9">
        <v>759</v>
      </c>
      <c r="D629" s="16">
        <v>7090</v>
      </c>
      <c r="E629" s="10" t="str">
        <f t="shared" si="73"/>
        <v>7090</v>
      </c>
      <c r="F629" s="10" t="str">
        <f t="shared" si="74"/>
        <v>709</v>
      </c>
      <c r="G629" s="10">
        <f t="shared" si="69"/>
        <v>0</v>
      </c>
      <c r="H629" s="10" t="b">
        <f>IF(ISERROR(VLOOKUP(E629,cuentas_pyme!C:C,1,FALSE)),FALSE,TRUE)</f>
        <v>1</v>
      </c>
      <c r="I629" s="10"/>
      <c r="J629" s="11" t="s">
        <v>2480</v>
      </c>
      <c r="K629" s="10" t="str">
        <f t="shared" si="70"/>
        <v>4.I.709</v>
      </c>
      <c r="L629" s="10" t="str">
        <f t="shared" si="72"/>
        <v>4.I.709</v>
      </c>
      <c r="M629" s="12" t="s">
        <v>2150</v>
      </c>
      <c r="N629" t="s">
        <v>1586</v>
      </c>
      <c r="O629" t="str">
        <f t="shared" si="75"/>
        <v>4.I</v>
      </c>
    </row>
    <row r="630" spans="3:15" x14ac:dyDescent="0.25">
      <c r="C630" s="9">
        <v>760</v>
      </c>
      <c r="D630" s="16">
        <v>7091</v>
      </c>
      <c r="E630" s="10" t="str">
        <f t="shared" si="73"/>
        <v>7091</v>
      </c>
      <c r="F630" s="10" t="str">
        <f t="shared" si="74"/>
        <v>709</v>
      </c>
      <c r="G630" s="10">
        <f t="shared" si="69"/>
        <v>0</v>
      </c>
      <c r="H630" s="10" t="b">
        <f>IF(ISERROR(VLOOKUP(E630,cuentas_pyme!C:C,1,FALSE)),FALSE,TRUE)</f>
        <v>1</v>
      </c>
      <c r="I630" s="10"/>
      <c r="J630" s="11" t="s">
        <v>2481</v>
      </c>
      <c r="K630" s="10" t="str">
        <f t="shared" si="70"/>
        <v>4.I.709</v>
      </c>
      <c r="L630" s="10" t="str">
        <f t="shared" si="72"/>
        <v>4.I.709</v>
      </c>
      <c r="M630" s="12" t="s">
        <v>2151</v>
      </c>
      <c r="N630" t="s">
        <v>1586</v>
      </c>
      <c r="O630" t="str">
        <f t="shared" si="75"/>
        <v>4.I</v>
      </c>
    </row>
    <row r="631" spans="3:15" x14ac:dyDescent="0.25">
      <c r="C631" s="9">
        <v>761</v>
      </c>
      <c r="D631" s="16">
        <v>7092</v>
      </c>
      <c r="E631" s="10" t="str">
        <f t="shared" si="73"/>
        <v>7092</v>
      </c>
      <c r="F631" s="10" t="str">
        <f t="shared" si="74"/>
        <v>709</v>
      </c>
      <c r="G631" s="10">
        <f t="shared" si="69"/>
        <v>0</v>
      </c>
      <c r="H631" s="10" t="b">
        <f>IF(ISERROR(VLOOKUP(E631,cuentas_pyme!C:C,1,FALSE)),FALSE,TRUE)</f>
        <v>1</v>
      </c>
      <c r="I631" s="10"/>
      <c r="J631" s="11" t="s">
        <v>2482</v>
      </c>
      <c r="K631" s="10" t="str">
        <f t="shared" si="70"/>
        <v>4.I.709</v>
      </c>
      <c r="L631" s="10" t="str">
        <f t="shared" si="72"/>
        <v>4.I.709</v>
      </c>
      <c r="M631" s="12" t="s">
        <v>2152</v>
      </c>
      <c r="N631" t="s">
        <v>1586</v>
      </c>
      <c r="O631" t="str">
        <f t="shared" si="75"/>
        <v>4.I</v>
      </c>
    </row>
    <row r="632" spans="3:15" x14ac:dyDescent="0.25">
      <c r="C632" s="9">
        <v>762</v>
      </c>
      <c r="D632" s="16">
        <v>7093</v>
      </c>
      <c r="E632" s="10" t="str">
        <f t="shared" si="73"/>
        <v>7093</v>
      </c>
      <c r="F632" s="10" t="str">
        <f t="shared" si="74"/>
        <v>709</v>
      </c>
      <c r="G632" s="10">
        <f t="shared" si="69"/>
        <v>0</v>
      </c>
      <c r="H632" s="10" t="b">
        <f>IF(ISERROR(VLOOKUP(E632,cuentas_pyme!C:C,1,FALSE)),FALSE,TRUE)</f>
        <v>1</v>
      </c>
      <c r="I632" s="10"/>
      <c r="J632" s="11" t="s">
        <v>2483</v>
      </c>
      <c r="K632" s="10" t="str">
        <f t="shared" si="70"/>
        <v>4.I.709</v>
      </c>
      <c r="L632" s="10" t="str">
        <f t="shared" si="72"/>
        <v>4.I.709</v>
      </c>
      <c r="M632" s="12" t="s">
        <v>2153</v>
      </c>
      <c r="N632" t="s">
        <v>1586</v>
      </c>
      <c r="O632" t="str">
        <f t="shared" si="75"/>
        <v>4.I</v>
      </c>
    </row>
    <row r="633" spans="3:15" x14ac:dyDescent="0.25">
      <c r="C633" s="9">
        <v>763</v>
      </c>
      <c r="D633" s="16">
        <v>7094</v>
      </c>
      <c r="E633" s="10" t="str">
        <f t="shared" si="73"/>
        <v>7094</v>
      </c>
      <c r="F633" s="10" t="str">
        <f t="shared" si="74"/>
        <v>709</v>
      </c>
      <c r="G633" s="10">
        <f t="shared" si="69"/>
        <v>0</v>
      </c>
      <c r="H633" s="10" t="b">
        <f>IF(ISERROR(VLOOKUP(E633,cuentas_pyme!C:C,1,FALSE)),FALSE,TRUE)</f>
        <v>1</v>
      </c>
      <c r="I633" s="10"/>
      <c r="J633" s="11" t="s">
        <v>2484</v>
      </c>
      <c r="K633" s="10" t="str">
        <f t="shared" si="70"/>
        <v>4.I.709</v>
      </c>
      <c r="L633" s="10" t="str">
        <f t="shared" si="72"/>
        <v>4.I.709</v>
      </c>
      <c r="M633" s="12" t="s">
        <v>2154</v>
      </c>
      <c r="N633" t="s">
        <v>1586</v>
      </c>
      <c r="O633" t="str">
        <f t="shared" si="75"/>
        <v>4.I</v>
      </c>
    </row>
    <row r="634" spans="3:15" x14ac:dyDescent="0.25">
      <c r="C634" s="9">
        <v>764</v>
      </c>
      <c r="D634" s="16">
        <v>71</v>
      </c>
      <c r="E634" s="10" t="str">
        <f t="shared" si="73"/>
        <v>71</v>
      </c>
      <c r="F634" s="10" t="str">
        <f t="shared" si="74"/>
        <v>7</v>
      </c>
      <c r="G634" s="10">
        <f t="shared" ref="G634:G697" si="76">IF(IFERROR(VLOOKUP(E634,F:F,1,FALSE),0)&lt;&gt;0,1,0)</f>
        <v>1</v>
      </c>
      <c r="H634" s="10" t="b">
        <f>IF(ISERROR(VLOOKUP(E634,cuentas_pyme!C:C,1,FALSE)),FALSE,TRUE)</f>
        <v>1</v>
      </c>
      <c r="I634" s="10"/>
      <c r="J634" s="11" t="s">
        <v>2308</v>
      </c>
      <c r="K634" s="10" t="s">
        <v>2267</v>
      </c>
      <c r="L634" s="10" t="str">
        <f t="shared" si="72"/>
        <v>4.I</v>
      </c>
      <c r="M634" s="12" t="s">
        <v>3066</v>
      </c>
      <c r="N634" t="s">
        <v>1586</v>
      </c>
      <c r="O634" t="str">
        <f t="shared" si="75"/>
        <v>4.I</v>
      </c>
    </row>
    <row r="635" spans="3:15" x14ac:dyDescent="0.25">
      <c r="C635" s="9">
        <v>765</v>
      </c>
      <c r="D635" s="16">
        <v>710</v>
      </c>
      <c r="E635" s="10" t="str">
        <f t="shared" si="73"/>
        <v>710</v>
      </c>
      <c r="F635" s="10" t="str">
        <f t="shared" si="74"/>
        <v>71</v>
      </c>
      <c r="G635" s="10">
        <f t="shared" si="76"/>
        <v>0</v>
      </c>
      <c r="H635" s="10" t="b">
        <f>IF(ISERROR(VLOOKUP(E635,cuentas_pyme!C:C,1,FALSE)),FALSE,TRUE)</f>
        <v>1</v>
      </c>
      <c r="I635" s="10"/>
      <c r="J635" s="11" t="s">
        <v>2485</v>
      </c>
      <c r="K635" s="10" t="str">
        <f t="shared" si="70"/>
        <v>4.I.71</v>
      </c>
      <c r="L635" s="10" t="str">
        <f t="shared" si="72"/>
        <v>4.I.71</v>
      </c>
      <c r="M635" s="12" t="s">
        <v>2155</v>
      </c>
      <c r="N635" t="s">
        <v>1586</v>
      </c>
      <c r="O635" t="str">
        <f t="shared" si="75"/>
        <v>4.I</v>
      </c>
    </row>
    <row r="636" spans="3:15" x14ac:dyDescent="0.25">
      <c r="C636" s="9">
        <v>766</v>
      </c>
      <c r="D636" s="16">
        <v>711</v>
      </c>
      <c r="E636" s="10" t="str">
        <f t="shared" si="73"/>
        <v>711</v>
      </c>
      <c r="F636" s="10" t="str">
        <f t="shared" si="74"/>
        <v>71</v>
      </c>
      <c r="G636" s="10">
        <f t="shared" si="76"/>
        <v>0</v>
      </c>
      <c r="H636" s="10" t="b">
        <f>IF(ISERROR(VLOOKUP(E636,cuentas_pyme!C:C,1,FALSE)),FALSE,TRUE)</f>
        <v>1</v>
      </c>
      <c r="I636" s="10"/>
      <c r="J636" s="11" t="s">
        <v>2486</v>
      </c>
      <c r="K636" s="10" t="str">
        <f t="shared" si="70"/>
        <v>4.I.71</v>
      </c>
      <c r="L636" s="10" t="str">
        <f t="shared" si="72"/>
        <v>4.I.71</v>
      </c>
      <c r="M636" s="12" t="s">
        <v>2156</v>
      </c>
      <c r="N636" t="s">
        <v>1586</v>
      </c>
      <c r="O636" t="str">
        <f t="shared" si="75"/>
        <v>4.I</v>
      </c>
    </row>
    <row r="637" spans="3:15" x14ac:dyDescent="0.25">
      <c r="C637" s="9">
        <v>767</v>
      </c>
      <c r="D637" s="16">
        <v>712</v>
      </c>
      <c r="E637" s="10" t="str">
        <f t="shared" si="73"/>
        <v>712</v>
      </c>
      <c r="F637" s="10" t="str">
        <f t="shared" si="74"/>
        <v>71</v>
      </c>
      <c r="G637" s="10">
        <f t="shared" si="76"/>
        <v>0</v>
      </c>
      <c r="H637" s="10" t="b">
        <f>IF(ISERROR(VLOOKUP(E637,cuentas_pyme!C:C,1,FALSE)),FALSE,TRUE)</f>
        <v>1</v>
      </c>
      <c r="I637" s="10"/>
      <c r="J637" s="11" t="s">
        <v>2487</v>
      </c>
      <c r="K637" s="10" t="str">
        <f t="shared" si="70"/>
        <v>4.I.71</v>
      </c>
      <c r="L637" s="10" t="str">
        <f t="shared" si="72"/>
        <v>4.I.71</v>
      </c>
      <c r="M637" s="12" t="s">
        <v>2157</v>
      </c>
      <c r="N637" t="s">
        <v>1586</v>
      </c>
      <c r="O637" t="str">
        <f t="shared" si="75"/>
        <v>4.I</v>
      </c>
    </row>
    <row r="638" spans="3:15" x14ac:dyDescent="0.25">
      <c r="C638" s="9">
        <v>768</v>
      </c>
      <c r="D638" s="16">
        <v>713</v>
      </c>
      <c r="E638" s="10" t="str">
        <f t="shared" si="73"/>
        <v>713</v>
      </c>
      <c r="F638" s="10" t="str">
        <f t="shared" si="74"/>
        <v>71</v>
      </c>
      <c r="G638" s="10">
        <f t="shared" si="76"/>
        <v>0</v>
      </c>
      <c r="H638" s="10" t="b">
        <f>IF(ISERROR(VLOOKUP(E638,cuentas_pyme!C:C,1,FALSE)),FALSE,TRUE)</f>
        <v>1</v>
      </c>
      <c r="I638" s="10"/>
      <c r="J638" s="11" t="s">
        <v>2488</v>
      </c>
      <c r="K638" s="10" t="str">
        <f t="shared" si="70"/>
        <v>4.I.71</v>
      </c>
      <c r="L638" s="10" t="str">
        <f t="shared" si="72"/>
        <v>4.I.71</v>
      </c>
      <c r="M638" s="12" t="s">
        <v>2158</v>
      </c>
      <c r="N638" t="s">
        <v>1586</v>
      </c>
      <c r="O638" t="str">
        <f t="shared" si="75"/>
        <v>4.I</v>
      </c>
    </row>
    <row r="639" spans="3:15" x14ac:dyDescent="0.25">
      <c r="C639" s="9">
        <v>769</v>
      </c>
      <c r="D639" s="16">
        <v>73</v>
      </c>
      <c r="E639" s="10" t="str">
        <f t="shared" si="73"/>
        <v>73</v>
      </c>
      <c r="F639" s="10" t="str">
        <f t="shared" si="74"/>
        <v>7</v>
      </c>
      <c r="G639" s="10">
        <f t="shared" si="76"/>
        <v>1</v>
      </c>
      <c r="H639" s="10" t="b">
        <f>IF(ISERROR(VLOOKUP(E639,cuentas_pyme!C:C,1,FALSE)),FALSE,TRUE)</f>
        <v>1</v>
      </c>
      <c r="I639" s="10"/>
      <c r="J639" s="11" t="s">
        <v>2309</v>
      </c>
      <c r="K639" s="10" t="s">
        <v>2267</v>
      </c>
      <c r="L639" s="10" t="str">
        <f t="shared" si="72"/>
        <v>4.I</v>
      </c>
      <c r="M639" s="12" t="s">
        <v>3088</v>
      </c>
      <c r="N639" t="s">
        <v>1586</v>
      </c>
      <c r="O639" t="str">
        <f t="shared" si="75"/>
        <v>4.I</v>
      </c>
    </row>
    <row r="640" spans="3:15" x14ac:dyDescent="0.25">
      <c r="C640" s="9">
        <v>770</v>
      </c>
      <c r="D640" s="16">
        <v>730</v>
      </c>
      <c r="E640" s="10" t="str">
        <f t="shared" si="73"/>
        <v>730</v>
      </c>
      <c r="F640" s="10" t="str">
        <f t="shared" si="74"/>
        <v>73</v>
      </c>
      <c r="G640" s="10">
        <f t="shared" si="76"/>
        <v>0</v>
      </c>
      <c r="H640" s="10" t="b">
        <f>IF(ISERROR(VLOOKUP(E640,cuentas_pyme!C:C,1,FALSE)),FALSE,TRUE)</f>
        <v>1</v>
      </c>
      <c r="I640" s="10"/>
      <c r="J640" s="11" t="s">
        <v>2489</v>
      </c>
      <c r="K640" s="10" t="str">
        <f t="shared" si="70"/>
        <v>4.I.73</v>
      </c>
      <c r="L640" s="10" t="str">
        <f t="shared" si="72"/>
        <v>4.I.73</v>
      </c>
      <c r="M640" s="12" t="s">
        <v>2159</v>
      </c>
      <c r="N640" t="s">
        <v>1586</v>
      </c>
      <c r="O640" t="str">
        <f t="shared" si="75"/>
        <v>4.I</v>
      </c>
    </row>
    <row r="641" spans="3:15" x14ac:dyDescent="0.25">
      <c r="C641" s="9">
        <v>771</v>
      </c>
      <c r="D641" s="16">
        <v>731</v>
      </c>
      <c r="E641" s="10" t="str">
        <f t="shared" si="73"/>
        <v>731</v>
      </c>
      <c r="F641" s="10" t="str">
        <f t="shared" si="74"/>
        <v>73</v>
      </c>
      <c r="G641" s="10">
        <f t="shared" si="76"/>
        <v>0</v>
      </c>
      <c r="H641" s="10" t="b">
        <f>IF(ISERROR(VLOOKUP(E641,cuentas_pyme!C:C,1,FALSE)),FALSE,TRUE)</f>
        <v>1</v>
      </c>
      <c r="I641" s="10"/>
      <c r="J641" s="11" t="s">
        <v>2490</v>
      </c>
      <c r="K641" s="10" t="str">
        <f t="shared" ref="K641:K704" si="77">LEFT(J641,LEN(J641)-1)</f>
        <v>4.I.73</v>
      </c>
      <c r="L641" s="10" t="str">
        <f t="shared" si="72"/>
        <v>4.I.73</v>
      </c>
      <c r="M641" s="12" t="s">
        <v>2160</v>
      </c>
      <c r="N641" t="s">
        <v>1586</v>
      </c>
      <c r="O641" t="str">
        <f t="shared" si="75"/>
        <v>4.I</v>
      </c>
    </row>
    <row r="642" spans="3:15" x14ac:dyDescent="0.25">
      <c r="C642" s="9">
        <v>772</v>
      </c>
      <c r="D642" s="16">
        <v>732</v>
      </c>
      <c r="E642" s="10" t="str">
        <f t="shared" si="73"/>
        <v>732</v>
      </c>
      <c r="F642" s="10" t="str">
        <f t="shared" si="74"/>
        <v>73</v>
      </c>
      <c r="G642" s="10">
        <f t="shared" si="76"/>
        <v>0</v>
      </c>
      <c r="H642" s="10" t="b">
        <f>IF(ISERROR(VLOOKUP(E642,cuentas_pyme!C:C,1,FALSE)),FALSE,TRUE)</f>
        <v>1</v>
      </c>
      <c r="I642" s="10"/>
      <c r="J642" s="11" t="s">
        <v>2491</v>
      </c>
      <c r="K642" s="10" t="str">
        <f t="shared" si="77"/>
        <v>4.I.73</v>
      </c>
      <c r="L642" s="10" t="str">
        <f t="shared" si="72"/>
        <v>4.I.73</v>
      </c>
      <c r="M642" s="12" t="s">
        <v>2161</v>
      </c>
      <c r="N642" t="s">
        <v>1586</v>
      </c>
      <c r="O642" t="str">
        <f t="shared" si="75"/>
        <v>4.I</v>
      </c>
    </row>
    <row r="643" spans="3:15" x14ac:dyDescent="0.25">
      <c r="C643" s="9">
        <v>773</v>
      </c>
      <c r="D643" s="16">
        <v>733</v>
      </c>
      <c r="E643" s="10" t="str">
        <f t="shared" si="73"/>
        <v>733</v>
      </c>
      <c r="F643" s="10" t="str">
        <f t="shared" si="74"/>
        <v>73</v>
      </c>
      <c r="G643" s="10">
        <f t="shared" si="76"/>
        <v>0</v>
      </c>
      <c r="H643" s="10" t="b">
        <f>IF(ISERROR(VLOOKUP(E643,cuentas_pyme!C:C,1,FALSE)),FALSE,TRUE)</f>
        <v>1</v>
      </c>
      <c r="I643" s="10"/>
      <c r="J643" s="11" t="s">
        <v>2492</v>
      </c>
      <c r="K643" s="10" t="str">
        <f t="shared" si="77"/>
        <v>4.I.73</v>
      </c>
      <c r="L643" s="10" t="str">
        <f t="shared" si="72"/>
        <v>4.I.73</v>
      </c>
      <c r="M643" s="12" t="s">
        <v>2162</v>
      </c>
      <c r="N643" t="s">
        <v>1586</v>
      </c>
      <c r="O643" t="str">
        <f t="shared" si="75"/>
        <v>4.I</v>
      </c>
    </row>
    <row r="644" spans="3:15" x14ac:dyDescent="0.25">
      <c r="C644" s="9">
        <v>774</v>
      </c>
      <c r="D644" s="16">
        <v>74</v>
      </c>
      <c r="E644" s="10" t="str">
        <f t="shared" si="73"/>
        <v>74</v>
      </c>
      <c r="F644" s="10" t="str">
        <f t="shared" si="74"/>
        <v>7</v>
      </c>
      <c r="G644" s="10">
        <f t="shared" si="76"/>
        <v>1</v>
      </c>
      <c r="H644" s="10" t="b">
        <f>IF(ISERROR(VLOOKUP(E644,cuentas_pyme!C:C,1,FALSE)),FALSE,TRUE)</f>
        <v>1</v>
      </c>
      <c r="I644" s="10"/>
      <c r="J644" s="11" t="s">
        <v>2310</v>
      </c>
      <c r="K644" s="10" t="s">
        <v>2267</v>
      </c>
      <c r="L644" s="10" t="str">
        <f t="shared" si="72"/>
        <v>4.I</v>
      </c>
      <c r="M644" s="12" t="s">
        <v>3067</v>
      </c>
      <c r="N644" t="s">
        <v>1586</v>
      </c>
      <c r="O644" t="str">
        <f t="shared" si="75"/>
        <v>4.I</v>
      </c>
    </row>
    <row r="645" spans="3:15" x14ac:dyDescent="0.25">
      <c r="C645" s="9">
        <v>775</v>
      </c>
      <c r="D645" s="16">
        <v>740</v>
      </c>
      <c r="E645" s="10" t="str">
        <f t="shared" si="73"/>
        <v>740</v>
      </c>
      <c r="F645" s="10" t="str">
        <f t="shared" si="74"/>
        <v>74</v>
      </c>
      <c r="G645" s="10">
        <f t="shared" si="76"/>
        <v>0</v>
      </c>
      <c r="H645" s="10" t="b">
        <f>IF(ISERROR(VLOOKUP(E645,cuentas_pyme!C:C,1,FALSE)),FALSE,TRUE)</f>
        <v>1</v>
      </c>
      <c r="I645" s="10"/>
      <c r="J645" s="11" t="s">
        <v>2493</v>
      </c>
      <c r="K645" s="10" t="str">
        <f t="shared" si="77"/>
        <v>4.I.74</v>
      </c>
      <c r="L645" s="10" t="str">
        <f t="shared" si="72"/>
        <v>4.I.74</v>
      </c>
      <c r="M645" s="12" t="s">
        <v>2163</v>
      </c>
      <c r="N645" t="s">
        <v>1586</v>
      </c>
      <c r="O645" t="str">
        <f t="shared" si="75"/>
        <v>4.I</v>
      </c>
    </row>
    <row r="646" spans="3:15" x14ac:dyDescent="0.25">
      <c r="C646" s="9">
        <v>776</v>
      </c>
      <c r="D646" s="16">
        <v>746</v>
      </c>
      <c r="E646" s="10" t="str">
        <f t="shared" si="73"/>
        <v>746</v>
      </c>
      <c r="F646" s="10" t="str">
        <f t="shared" si="74"/>
        <v>74</v>
      </c>
      <c r="G646" s="10">
        <f t="shared" si="76"/>
        <v>0</v>
      </c>
      <c r="H646" s="10" t="b">
        <f>IF(ISERROR(VLOOKUP(E646,cuentas_pyme!C:C,1,FALSE)),FALSE,TRUE)</f>
        <v>1</v>
      </c>
      <c r="I646" s="10"/>
      <c r="J646" s="11" t="s">
        <v>2494</v>
      </c>
      <c r="K646" s="10" t="str">
        <f t="shared" si="77"/>
        <v>4.I.74</v>
      </c>
      <c r="L646" s="10" t="str">
        <f t="shared" si="72"/>
        <v>4.I.74</v>
      </c>
      <c r="M646" s="12" t="s">
        <v>2164</v>
      </c>
      <c r="N646" t="s">
        <v>1586</v>
      </c>
      <c r="O646" t="str">
        <f t="shared" si="75"/>
        <v>4.I</v>
      </c>
    </row>
    <row r="647" spans="3:15" x14ac:dyDescent="0.25">
      <c r="C647" s="9">
        <v>777</v>
      </c>
      <c r="D647" s="16">
        <v>747</v>
      </c>
      <c r="E647" s="10" t="str">
        <f t="shared" si="73"/>
        <v>747</v>
      </c>
      <c r="F647" s="10" t="str">
        <f t="shared" si="74"/>
        <v>74</v>
      </c>
      <c r="G647" s="10">
        <f t="shared" si="76"/>
        <v>0</v>
      </c>
      <c r="H647" s="10" t="b">
        <f>IF(ISERROR(VLOOKUP(E647,cuentas_pyme!C:C,1,FALSE)),FALSE,TRUE)</f>
        <v>1</v>
      </c>
      <c r="I647" s="10"/>
      <c r="J647" s="11" t="s">
        <v>2495</v>
      </c>
      <c r="K647" s="10" t="str">
        <f t="shared" si="77"/>
        <v>4.I.74</v>
      </c>
      <c r="L647" s="10" t="str">
        <f t="shared" si="72"/>
        <v>4.I.74</v>
      </c>
      <c r="M647" s="12" t="s">
        <v>2165</v>
      </c>
      <c r="N647" t="s">
        <v>1586</v>
      </c>
      <c r="O647" t="str">
        <f t="shared" si="75"/>
        <v>4.I</v>
      </c>
    </row>
    <row r="648" spans="3:15" x14ac:dyDescent="0.25">
      <c r="C648" s="9">
        <v>778</v>
      </c>
      <c r="D648" s="16">
        <v>75</v>
      </c>
      <c r="E648" s="10" t="str">
        <f t="shared" si="73"/>
        <v>75</v>
      </c>
      <c r="F648" s="10" t="str">
        <f t="shared" si="74"/>
        <v>7</v>
      </c>
      <c r="G648" s="10">
        <f t="shared" si="76"/>
        <v>1</v>
      </c>
      <c r="H648" s="10" t="b">
        <f>IF(ISERROR(VLOOKUP(E648,cuentas_pyme!C:C,1,FALSE)),FALSE,TRUE)</f>
        <v>1</v>
      </c>
      <c r="I648" s="10"/>
      <c r="J648" s="11" t="s">
        <v>2311</v>
      </c>
      <c r="K648" s="10" t="s">
        <v>2267</v>
      </c>
      <c r="L648" s="10" t="str">
        <f t="shared" si="72"/>
        <v>4.I</v>
      </c>
      <c r="M648" s="12" t="s">
        <v>3068</v>
      </c>
      <c r="N648" t="s">
        <v>1586</v>
      </c>
      <c r="O648" t="str">
        <f t="shared" si="75"/>
        <v>4.I</v>
      </c>
    </row>
    <row r="649" spans="3:15" x14ac:dyDescent="0.25">
      <c r="C649" s="9">
        <v>779</v>
      </c>
      <c r="D649" s="16">
        <v>751</v>
      </c>
      <c r="E649" s="10" t="str">
        <f t="shared" si="73"/>
        <v>751</v>
      </c>
      <c r="F649" s="10" t="str">
        <f t="shared" si="74"/>
        <v>75</v>
      </c>
      <c r="G649" s="10">
        <f t="shared" si="76"/>
        <v>1</v>
      </c>
      <c r="H649" s="10" t="b">
        <f>IF(ISERROR(VLOOKUP(E649,cuentas_pyme!C:C,1,FALSE)),FALSE,TRUE)</f>
        <v>1</v>
      </c>
      <c r="I649" s="10"/>
      <c r="J649" s="11" t="s">
        <v>2312</v>
      </c>
      <c r="K649" s="10" t="str">
        <f t="shared" si="77"/>
        <v>4.I.75</v>
      </c>
      <c r="L649" s="10" t="str">
        <f t="shared" ref="L649:L712" si="78">VLOOKUP(K649,J:J,1,FALSE)</f>
        <v>4.I.75</v>
      </c>
      <c r="M649" s="12" t="s">
        <v>2027</v>
      </c>
      <c r="N649" t="s">
        <v>1586</v>
      </c>
      <c r="O649" t="str">
        <f t="shared" si="75"/>
        <v>4.I</v>
      </c>
    </row>
    <row r="650" spans="3:15" x14ac:dyDescent="0.25">
      <c r="C650" s="9">
        <v>780</v>
      </c>
      <c r="D650" s="16">
        <v>7510</v>
      </c>
      <c r="E650" s="10" t="str">
        <f t="shared" si="73"/>
        <v>7510</v>
      </c>
      <c r="F650" s="10" t="str">
        <f t="shared" si="74"/>
        <v>751</v>
      </c>
      <c r="G650" s="10">
        <f t="shared" si="76"/>
        <v>0</v>
      </c>
      <c r="H650" s="10" t="b">
        <f>IF(ISERROR(VLOOKUP(E650,cuentas_pyme!C:C,1,FALSE)),FALSE,TRUE)</f>
        <v>1</v>
      </c>
      <c r="I650" s="10"/>
      <c r="J650" s="11" t="s">
        <v>2496</v>
      </c>
      <c r="K650" s="10" t="str">
        <f t="shared" si="77"/>
        <v>4.I.751</v>
      </c>
      <c r="L650" s="10" t="str">
        <f t="shared" si="78"/>
        <v>4.I.751</v>
      </c>
      <c r="M650" s="12" t="s">
        <v>2166</v>
      </c>
      <c r="N650" t="s">
        <v>1586</v>
      </c>
      <c r="O650" t="str">
        <f t="shared" si="75"/>
        <v>4.I</v>
      </c>
    </row>
    <row r="651" spans="3:15" x14ac:dyDescent="0.25">
      <c r="C651" s="9">
        <v>781</v>
      </c>
      <c r="D651" s="16">
        <v>7511</v>
      </c>
      <c r="E651" s="10" t="str">
        <f t="shared" si="73"/>
        <v>7511</v>
      </c>
      <c r="F651" s="10" t="str">
        <f t="shared" si="74"/>
        <v>751</v>
      </c>
      <c r="G651" s="10">
        <f t="shared" si="76"/>
        <v>0</v>
      </c>
      <c r="H651" s="10" t="b">
        <f>IF(ISERROR(VLOOKUP(E651,cuentas_pyme!C:C,1,FALSE)),FALSE,TRUE)</f>
        <v>1</v>
      </c>
      <c r="I651" s="10"/>
      <c r="J651" s="11" t="s">
        <v>2497</v>
      </c>
      <c r="K651" s="10" t="str">
        <f t="shared" si="77"/>
        <v>4.I.751</v>
      </c>
      <c r="L651" s="10" t="str">
        <f t="shared" si="78"/>
        <v>4.I.751</v>
      </c>
      <c r="M651" s="12" t="s">
        <v>2167</v>
      </c>
      <c r="N651" t="s">
        <v>1586</v>
      </c>
      <c r="O651" t="str">
        <f t="shared" si="75"/>
        <v>4.I</v>
      </c>
    </row>
    <row r="652" spans="3:15" x14ac:dyDescent="0.25">
      <c r="C652" s="9">
        <v>782</v>
      </c>
      <c r="D652" s="16">
        <v>752</v>
      </c>
      <c r="E652" s="10" t="str">
        <f t="shared" si="73"/>
        <v>752</v>
      </c>
      <c r="F652" s="10" t="str">
        <f t="shared" si="74"/>
        <v>75</v>
      </c>
      <c r="G652" s="10">
        <f t="shared" si="76"/>
        <v>0</v>
      </c>
      <c r="H652" s="10" t="b">
        <f>IF(ISERROR(VLOOKUP(E652,cuentas_pyme!C:C,1,FALSE)),FALSE,TRUE)</f>
        <v>1</v>
      </c>
      <c r="I652" s="10"/>
      <c r="J652" s="11" t="s">
        <v>2498</v>
      </c>
      <c r="K652" s="10" t="str">
        <f t="shared" si="77"/>
        <v>4.I.75</v>
      </c>
      <c r="L652" s="10" t="str">
        <f t="shared" si="78"/>
        <v>4.I.75</v>
      </c>
      <c r="M652" s="12" t="s">
        <v>2168</v>
      </c>
      <c r="N652" t="s">
        <v>1586</v>
      </c>
      <c r="O652" t="str">
        <f t="shared" si="75"/>
        <v>4.I</v>
      </c>
    </row>
    <row r="653" spans="3:15" x14ac:dyDescent="0.25">
      <c r="C653" s="9">
        <v>783</v>
      </c>
      <c r="D653" s="16">
        <v>753</v>
      </c>
      <c r="E653" s="10" t="str">
        <f t="shared" si="73"/>
        <v>753</v>
      </c>
      <c r="F653" s="10" t="str">
        <f t="shared" si="74"/>
        <v>75</v>
      </c>
      <c r="G653" s="10">
        <f t="shared" si="76"/>
        <v>0</v>
      </c>
      <c r="H653" s="10" t="b">
        <f>IF(ISERROR(VLOOKUP(E653,cuentas_pyme!C:C,1,FALSE)),FALSE,TRUE)</f>
        <v>1</v>
      </c>
      <c r="I653" s="10"/>
      <c r="J653" s="11" t="s">
        <v>2499</v>
      </c>
      <c r="K653" s="10" t="str">
        <f t="shared" si="77"/>
        <v>4.I.75</v>
      </c>
      <c r="L653" s="10" t="str">
        <f t="shared" si="78"/>
        <v>4.I.75</v>
      </c>
      <c r="M653" s="12" t="s">
        <v>2169</v>
      </c>
      <c r="N653" t="s">
        <v>1586</v>
      </c>
      <c r="O653" t="str">
        <f t="shared" si="75"/>
        <v>4.I</v>
      </c>
    </row>
    <row r="654" spans="3:15" x14ac:dyDescent="0.25">
      <c r="C654" s="9">
        <v>784</v>
      </c>
      <c r="D654" s="16">
        <v>754</v>
      </c>
      <c r="E654" s="10" t="str">
        <f t="shared" si="73"/>
        <v>754</v>
      </c>
      <c r="F654" s="10" t="str">
        <f t="shared" si="74"/>
        <v>75</v>
      </c>
      <c r="G654" s="10">
        <f t="shared" si="76"/>
        <v>0</v>
      </c>
      <c r="H654" s="10" t="b">
        <f>IF(ISERROR(VLOOKUP(E654,cuentas_pyme!C:C,1,FALSE)),FALSE,TRUE)</f>
        <v>1</v>
      </c>
      <c r="I654" s="10"/>
      <c r="J654" s="11" t="s">
        <v>2500</v>
      </c>
      <c r="K654" s="10" t="str">
        <f t="shared" si="77"/>
        <v>4.I.75</v>
      </c>
      <c r="L654" s="10" t="str">
        <f t="shared" si="78"/>
        <v>4.I.75</v>
      </c>
      <c r="M654" s="12" t="s">
        <v>2170</v>
      </c>
      <c r="N654" t="s">
        <v>1586</v>
      </c>
      <c r="O654" t="str">
        <f t="shared" si="75"/>
        <v>4.I</v>
      </c>
    </row>
    <row r="655" spans="3:15" x14ac:dyDescent="0.25">
      <c r="C655" s="9">
        <v>785</v>
      </c>
      <c r="D655" s="16">
        <v>755</v>
      </c>
      <c r="E655" s="10" t="str">
        <f t="shared" si="73"/>
        <v>755</v>
      </c>
      <c r="F655" s="10" t="str">
        <f t="shared" si="74"/>
        <v>75</v>
      </c>
      <c r="G655" s="10">
        <f t="shared" si="76"/>
        <v>0</v>
      </c>
      <c r="H655" s="10" t="b">
        <f>IF(ISERROR(VLOOKUP(E655,cuentas_pyme!C:C,1,FALSE)),FALSE,TRUE)</f>
        <v>1</v>
      </c>
      <c r="I655" s="10"/>
      <c r="J655" s="11" t="s">
        <v>2501</v>
      </c>
      <c r="K655" s="10" t="str">
        <f t="shared" si="77"/>
        <v>4.I.75</v>
      </c>
      <c r="L655" s="10" t="str">
        <f t="shared" si="78"/>
        <v>4.I.75</v>
      </c>
      <c r="M655" s="12" t="s">
        <v>2171</v>
      </c>
      <c r="N655" t="s">
        <v>1586</v>
      </c>
      <c r="O655" t="str">
        <f t="shared" si="75"/>
        <v>4.I</v>
      </c>
    </row>
    <row r="656" spans="3:15" x14ac:dyDescent="0.25">
      <c r="C656" s="9">
        <v>786</v>
      </c>
      <c r="D656" s="16">
        <v>759</v>
      </c>
      <c r="E656" s="10" t="str">
        <f t="shared" si="73"/>
        <v>759</v>
      </c>
      <c r="F656" s="10" t="str">
        <f t="shared" si="74"/>
        <v>75</v>
      </c>
      <c r="G656" s="10">
        <f t="shared" si="76"/>
        <v>0</v>
      </c>
      <c r="H656" s="10" t="b">
        <f>IF(ISERROR(VLOOKUP(E656,cuentas_pyme!C:C,1,FALSE)),FALSE,TRUE)</f>
        <v>1</v>
      </c>
      <c r="I656" s="10"/>
      <c r="J656" s="11" t="s">
        <v>2502</v>
      </c>
      <c r="K656" s="10" t="str">
        <f t="shared" si="77"/>
        <v>4.I.75</v>
      </c>
      <c r="L656" s="10" t="str">
        <f t="shared" si="78"/>
        <v>4.I.75</v>
      </c>
      <c r="M656" s="12" t="s">
        <v>2172</v>
      </c>
      <c r="N656" t="s">
        <v>1586</v>
      </c>
      <c r="O656" t="str">
        <f t="shared" si="75"/>
        <v>4.I</v>
      </c>
    </row>
    <row r="657" spans="3:15" x14ac:dyDescent="0.25">
      <c r="C657" s="9">
        <v>787</v>
      </c>
      <c r="D657" s="16">
        <v>76</v>
      </c>
      <c r="E657" s="10" t="str">
        <f t="shared" si="73"/>
        <v>76</v>
      </c>
      <c r="F657" s="10" t="str">
        <f t="shared" si="74"/>
        <v>7</v>
      </c>
      <c r="G657" s="10">
        <f t="shared" si="76"/>
        <v>1</v>
      </c>
      <c r="H657" s="10" t="b">
        <f>IF(ISERROR(VLOOKUP(E657,cuentas_pyme!C:C,1,FALSE)),FALSE,TRUE)</f>
        <v>1</v>
      </c>
      <c r="I657" s="10"/>
      <c r="J657" s="11" t="s">
        <v>2313</v>
      </c>
      <c r="K657" s="10" t="s">
        <v>2267</v>
      </c>
      <c r="L657" s="10" t="str">
        <f t="shared" si="78"/>
        <v>4.I</v>
      </c>
      <c r="M657" s="12" t="s">
        <v>3089</v>
      </c>
      <c r="N657" t="s">
        <v>1586</v>
      </c>
      <c r="O657" t="str">
        <f t="shared" si="75"/>
        <v>4.I</v>
      </c>
    </row>
    <row r="658" spans="3:15" x14ac:dyDescent="0.25">
      <c r="C658" s="9">
        <v>788</v>
      </c>
      <c r="D658" s="16">
        <v>760</v>
      </c>
      <c r="E658" s="10" t="str">
        <f t="shared" si="73"/>
        <v>760</v>
      </c>
      <c r="F658" s="10" t="str">
        <f t="shared" si="74"/>
        <v>76</v>
      </c>
      <c r="G658" s="10">
        <f t="shared" si="76"/>
        <v>1</v>
      </c>
      <c r="H658" s="10" t="b">
        <f>IF(ISERROR(VLOOKUP(E658,cuentas_pyme!C:C,1,FALSE)),FALSE,TRUE)</f>
        <v>1</v>
      </c>
      <c r="I658" s="10"/>
      <c r="J658" s="11" t="s">
        <v>2314</v>
      </c>
      <c r="K658" s="10" t="str">
        <f t="shared" si="77"/>
        <v>4.I.76</v>
      </c>
      <c r="L658" s="10" t="str">
        <f t="shared" si="78"/>
        <v>4.I.76</v>
      </c>
      <c r="M658" s="12" t="s">
        <v>2173</v>
      </c>
      <c r="N658" t="s">
        <v>1586</v>
      </c>
      <c r="O658" t="str">
        <f t="shared" si="75"/>
        <v>4.I</v>
      </c>
    </row>
    <row r="659" spans="3:15" x14ac:dyDescent="0.25">
      <c r="C659" s="9">
        <v>789</v>
      </c>
      <c r="D659" s="16">
        <v>7600</v>
      </c>
      <c r="E659" s="10" t="str">
        <f t="shared" si="73"/>
        <v>7600</v>
      </c>
      <c r="F659" s="10" t="str">
        <f t="shared" si="74"/>
        <v>760</v>
      </c>
      <c r="G659" s="10">
        <f t="shared" si="76"/>
        <v>0</v>
      </c>
      <c r="H659" s="10" t="b">
        <f>IF(ISERROR(VLOOKUP(E659,cuentas_pyme!C:C,1,FALSE)),FALSE,TRUE)</f>
        <v>1</v>
      </c>
      <c r="I659" s="10"/>
      <c r="J659" s="11" t="s">
        <v>2503</v>
      </c>
      <c r="K659" s="10" t="str">
        <f t="shared" si="77"/>
        <v>4.I.760</v>
      </c>
      <c r="L659" s="10" t="str">
        <f t="shared" si="78"/>
        <v>4.I.760</v>
      </c>
      <c r="M659" s="12" t="s">
        <v>2174</v>
      </c>
      <c r="N659" t="s">
        <v>1586</v>
      </c>
      <c r="O659" t="str">
        <f t="shared" si="75"/>
        <v>4.I</v>
      </c>
    </row>
    <row r="660" spans="3:15" x14ac:dyDescent="0.25">
      <c r="C660" s="9">
        <v>790</v>
      </c>
      <c r="D660" s="16">
        <v>7601</v>
      </c>
      <c r="E660" s="10" t="str">
        <f t="shared" si="73"/>
        <v>7601</v>
      </c>
      <c r="F660" s="10" t="str">
        <f t="shared" si="74"/>
        <v>760</v>
      </c>
      <c r="G660" s="10">
        <f t="shared" si="76"/>
        <v>0</v>
      </c>
      <c r="H660" s="10" t="b">
        <f>IF(ISERROR(VLOOKUP(E660,cuentas_pyme!C:C,1,FALSE)),FALSE,TRUE)</f>
        <v>1</v>
      </c>
      <c r="I660" s="10"/>
      <c r="J660" s="11" t="s">
        <v>2504</v>
      </c>
      <c r="K660" s="10" t="str">
        <f t="shared" si="77"/>
        <v>4.I.760</v>
      </c>
      <c r="L660" s="10" t="str">
        <f t="shared" si="78"/>
        <v>4.I.760</v>
      </c>
      <c r="M660" s="12" t="s">
        <v>2175</v>
      </c>
      <c r="N660" t="s">
        <v>1586</v>
      </c>
      <c r="O660" t="str">
        <f t="shared" si="75"/>
        <v>4.I</v>
      </c>
    </row>
    <row r="661" spans="3:15" x14ac:dyDescent="0.25">
      <c r="C661" s="9">
        <v>791</v>
      </c>
      <c r="D661" s="16">
        <v>7602</v>
      </c>
      <c r="E661" s="10" t="str">
        <f t="shared" si="73"/>
        <v>7602</v>
      </c>
      <c r="F661" s="10" t="str">
        <f t="shared" si="74"/>
        <v>760</v>
      </c>
      <c r="G661" s="10">
        <f t="shared" si="76"/>
        <v>0</v>
      </c>
      <c r="H661" s="10" t="b">
        <f>IF(ISERROR(VLOOKUP(E661,cuentas_pyme!C:C,1,FALSE)),FALSE,TRUE)</f>
        <v>1</v>
      </c>
      <c r="I661" s="10"/>
      <c r="J661" s="11" t="s">
        <v>2505</v>
      </c>
      <c r="K661" s="10" t="str">
        <f t="shared" si="77"/>
        <v>4.I.760</v>
      </c>
      <c r="L661" s="10" t="str">
        <f t="shared" si="78"/>
        <v>4.I.760</v>
      </c>
      <c r="M661" s="12" t="s">
        <v>2176</v>
      </c>
      <c r="N661" t="s">
        <v>1586</v>
      </c>
      <c r="O661" t="str">
        <f t="shared" si="75"/>
        <v>4.I</v>
      </c>
    </row>
    <row r="662" spans="3:15" x14ac:dyDescent="0.25">
      <c r="C662" s="9">
        <v>792</v>
      </c>
      <c r="D662" s="16">
        <v>7603</v>
      </c>
      <c r="E662" s="10" t="str">
        <f t="shared" si="73"/>
        <v>7603</v>
      </c>
      <c r="F662" s="10" t="str">
        <f t="shared" si="74"/>
        <v>760</v>
      </c>
      <c r="G662" s="10">
        <f t="shared" si="76"/>
        <v>0</v>
      </c>
      <c r="H662" s="10" t="b">
        <f>IF(ISERROR(VLOOKUP(E662,cuentas_pyme!C:C,1,FALSE)),FALSE,TRUE)</f>
        <v>1</v>
      </c>
      <c r="I662" s="10"/>
      <c r="J662" s="11" t="s">
        <v>2506</v>
      </c>
      <c r="K662" s="10" t="str">
        <f t="shared" si="77"/>
        <v>4.I.760</v>
      </c>
      <c r="L662" s="10" t="str">
        <f t="shared" si="78"/>
        <v>4.I.760</v>
      </c>
      <c r="M662" s="12" t="s">
        <v>2177</v>
      </c>
      <c r="N662" t="s">
        <v>1586</v>
      </c>
      <c r="O662" t="str">
        <f t="shared" si="75"/>
        <v>4.I</v>
      </c>
    </row>
    <row r="663" spans="3:15" x14ac:dyDescent="0.25">
      <c r="C663" s="9">
        <v>793</v>
      </c>
      <c r="D663" s="16">
        <v>761</v>
      </c>
      <c r="E663" s="10" t="str">
        <f t="shared" si="73"/>
        <v>761</v>
      </c>
      <c r="F663" s="10" t="str">
        <f t="shared" si="74"/>
        <v>76</v>
      </c>
      <c r="G663" s="10">
        <f t="shared" si="76"/>
        <v>1</v>
      </c>
      <c r="H663" s="10" t="b">
        <f>IF(ISERROR(VLOOKUP(E663,cuentas_pyme!C:C,1,FALSE)),FALSE,TRUE)</f>
        <v>1</v>
      </c>
      <c r="I663" s="10"/>
      <c r="J663" s="11" t="s">
        <v>2315</v>
      </c>
      <c r="K663" s="10" t="str">
        <f t="shared" si="77"/>
        <v>4.I.76</v>
      </c>
      <c r="L663" s="10" t="str">
        <f t="shared" si="78"/>
        <v>4.I.76</v>
      </c>
      <c r="M663" s="12" t="s">
        <v>2178</v>
      </c>
      <c r="N663" t="s">
        <v>1586</v>
      </c>
      <c r="O663" t="str">
        <f t="shared" si="75"/>
        <v>4.I</v>
      </c>
    </row>
    <row r="664" spans="3:15" x14ac:dyDescent="0.25">
      <c r="C664" s="9">
        <v>794</v>
      </c>
      <c r="D664" s="16">
        <v>7610</v>
      </c>
      <c r="E664" s="10" t="str">
        <f t="shared" si="73"/>
        <v>7610</v>
      </c>
      <c r="F664" s="10" t="str">
        <f t="shared" si="74"/>
        <v>761</v>
      </c>
      <c r="G664" s="10">
        <f t="shared" si="76"/>
        <v>0</v>
      </c>
      <c r="H664" s="10" t="b">
        <f>IF(ISERROR(VLOOKUP(E664,cuentas_pyme!C:C,1,FALSE)),FALSE,TRUE)</f>
        <v>1</v>
      </c>
      <c r="I664" s="10"/>
      <c r="J664" s="11" t="s">
        <v>2507</v>
      </c>
      <c r="K664" s="10" t="str">
        <f t="shared" si="77"/>
        <v>4.I.761</v>
      </c>
      <c r="L664" s="10" t="str">
        <f t="shared" si="78"/>
        <v>4.I.761</v>
      </c>
      <c r="M664" s="12" t="s">
        <v>2179</v>
      </c>
      <c r="N664" t="s">
        <v>1586</v>
      </c>
      <c r="O664" t="str">
        <f t="shared" si="75"/>
        <v>4.I</v>
      </c>
    </row>
    <row r="665" spans="3:15" x14ac:dyDescent="0.25">
      <c r="C665" s="9">
        <v>795</v>
      </c>
      <c r="D665" s="16">
        <v>7611</v>
      </c>
      <c r="E665" s="10" t="str">
        <f t="shared" si="73"/>
        <v>7611</v>
      </c>
      <c r="F665" s="10" t="str">
        <f t="shared" si="74"/>
        <v>761</v>
      </c>
      <c r="G665" s="10">
        <f t="shared" si="76"/>
        <v>0</v>
      </c>
      <c r="H665" s="10" t="b">
        <f>IF(ISERROR(VLOOKUP(E665,cuentas_pyme!C:C,1,FALSE)),FALSE,TRUE)</f>
        <v>1</v>
      </c>
      <c r="I665" s="10"/>
      <c r="J665" s="11" t="s">
        <v>2508</v>
      </c>
      <c r="K665" s="10" t="str">
        <f t="shared" si="77"/>
        <v>4.I.761</v>
      </c>
      <c r="L665" s="10" t="str">
        <f t="shared" si="78"/>
        <v>4.I.761</v>
      </c>
      <c r="M665" s="12" t="s">
        <v>2180</v>
      </c>
      <c r="N665" t="s">
        <v>1586</v>
      </c>
      <c r="O665" t="str">
        <f t="shared" si="75"/>
        <v>4.I</v>
      </c>
    </row>
    <row r="666" spans="3:15" x14ac:dyDescent="0.25">
      <c r="C666" s="9">
        <v>796</v>
      </c>
      <c r="D666" s="16">
        <v>7612</v>
      </c>
      <c r="E666" s="10" t="str">
        <f t="shared" si="73"/>
        <v>7612</v>
      </c>
      <c r="F666" s="10" t="str">
        <f t="shared" si="74"/>
        <v>761</v>
      </c>
      <c r="G666" s="10">
        <f t="shared" si="76"/>
        <v>0</v>
      </c>
      <c r="H666" s="10" t="b">
        <f>IF(ISERROR(VLOOKUP(E666,cuentas_pyme!C:C,1,FALSE)),FALSE,TRUE)</f>
        <v>1</v>
      </c>
      <c r="I666" s="10"/>
      <c r="J666" s="11" t="s">
        <v>2509</v>
      </c>
      <c r="K666" s="10" t="str">
        <f t="shared" si="77"/>
        <v>4.I.761</v>
      </c>
      <c r="L666" s="10" t="str">
        <f t="shared" si="78"/>
        <v>4.I.761</v>
      </c>
      <c r="M666" s="12" t="s">
        <v>2181</v>
      </c>
      <c r="N666" t="s">
        <v>1586</v>
      </c>
      <c r="O666" t="str">
        <f t="shared" si="75"/>
        <v>4.I</v>
      </c>
    </row>
    <row r="667" spans="3:15" x14ac:dyDescent="0.25">
      <c r="C667" s="9">
        <v>797</v>
      </c>
      <c r="D667" s="16">
        <v>7613</v>
      </c>
      <c r="E667" s="10" t="str">
        <f t="shared" si="73"/>
        <v>7613</v>
      </c>
      <c r="F667" s="10" t="str">
        <f t="shared" si="74"/>
        <v>761</v>
      </c>
      <c r="G667" s="10">
        <f t="shared" si="76"/>
        <v>0</v>
      </c>
      <c r="H667" s="10" t="b">
        <f>IF(ISERROR(VLOOKUP(E667,cuentas_pyme!C:C,1,FALSE)),FALSE,TRUE)</f>
        <v>1</v>
      </c>
      <c r="I667" s="10"/>
      <c r="J667" s="11" t="s">
        <v>2510</v>
      </c>
      <c r="K667" s="10" t="str">
        <f t="shared" si="77"/>
        <v>4.I.761</v>
      </c>
      <c r="L667" s="10" t="str">
        <f t="shared" si="78"/>
        <v>4.I.761</v>
      </c>
      <c r="M667" s="12" t="s">
        <v>2182</v>
      </c>
      <c r="N667" t="s">
        <v>1586</v>
      </c>
      <c r="O667" t="str">
        <f t="shared" si="75"/>
        <v>4.I</v>
      </c>
    </row>
    <row r="668" spans="3:15" x14ac:dyDescent="0.25">
      <c r="C668" s="9">
        <v>798</v>
      </c>
      <c r="D668" s="16">
        <v>762</v>
      </c>
      <c r="E668" s="10" t="str">
        <f t="shared" si="73"/>
        <v>762</v>
      </c>
      <c r="F668" s="10" t="str">
        <f t="shared" si="74"/>
        <v>76</v>
      </c>
      <c r="G668" s="10">
        <f t="shared" si="76"/>
        <v>1</v>
      </c>
      <c r="H668" s="10" t="b">
        <f>IF(ISERROR(VLOOKUP(E668,cuentas_pyme!C:C,1,FALSE)),FALSE,TRUE)</f>
        <v>1</v>
      </c>
      <c r="I668" s="10"/>
      <c r="J668" s="11" t="s">
        <v>2316</v>
      </c>
      <c r="K668" s="10" t="str">
        <f t="shared" si="77"/>
        <v>4.I.76</v>
      </c>
      <c r="L668" s="10" t="str">
        <f t="shared" si="78"/>
        <v>4.I.76</v>
      </c>
      <c r="M668" s="12" t="s">
        <v>2183</v>
      </c>
      <c r="N668" t="s">
        <v>1586</v>
      </c>
      <c r="O668" t="str">
        <f t="shared" si="75"/>
        <v>4.I</v>
      </c>
    </row>
    <row r="669" spans="3:15" x14ac:dyDescent="0.25">
      <c r="C669" s="9">
        <v>799</v>
      </c>
      <c r="D669" s="16">
        <v>7620</v>
      </c>
      <c r="E669" s="10" t="str">
        <f t="shared" si="73"/>
        <v>7620</v>
      </c>
      <c r="F669" s="10" t="str">
        <f t="shared" si="74"/>
        <v>762</v>
      </c>
      <c r="G669" s="10">
        <f t="shared" si="76"/>
        <v>1</v>
      </c>
      <c r="H669" s="10" t="b">
        <f>IF(ISERROR(VLOOKUP(E669,cuentas_pyme!C:C,1,FALSE)),FALSE,TRUE)</f>
        <v>1</v>
      </c>
      <c r="I669" s="10"/>
      <c r="J669" s="11" t="s">
        <v>2317</v>
      </c>
      <c r="K669" s="10" t="str">
        <f t="shared" si="77"/>
        <v>4.I.762</v>
      </c>
      <c r="L669" s="10" t="str">
        <f t="shared" si="78"/>
        <v>4.I.762</v>
      </c>
      <c r="M669" s="12" t="s">
        <v>2184</v>
      </c>
      <c r="N669" t="s">
        <v>1586</v>
      </c>
      <c r="O669" t="str">
        <f t="shared" si="75"/>
        <v>4.I</v>
      </c>
    </row>
    <row r="670" spans="3:15" x14ac:dyDescent="0.25">
      <c r="C670" s="9">
        <v>800</v>
      </c>
      <c r="D670" s="16">
        <v>76200</v>
      </c>
      <c r="E670" s="10" t="str">
        <f t="shared" si="73"/>
        <v>76200</v>
      </c>
      <c r="F670" s="10" t="str">
        <f t="shared" si="74"/>
        <v>7620</v>
      </c>
      <c r="G670" s="10">
        <f t="shared" si="76"/>
        <v>0</v>
      </c>
      <c r="H670" s="10" t="b">
        <f>IF(ISERROR(VLOOKUP(E670,cuentas_pyme!C:C,1,FALSE)),FALSE,TRUE)</f>
        <v>1</v>
      </c>
      <c r="I670" s="10"/>
      <c r="J670" s="11" t="s">
        <v>2511</v>
      </c>
      <c r="K670" s="10" t="str">
        <f t="shared" si="77"/>
        <v>4.I.7620</v>
      </c>
      <c r="L670" s="10" t="str">
        <f t="shared" si="78"/>
        <v>4.I.7620</v>
      </c>
      <c r="M670" s="12" t="s">
        <v>2185</v>
      </c>
      <c r="N670" t="s">
        <v>1586</v>
      </c>
      <c r="O670" t="str">
        <f t="shared" si="75"/>
        <v>4.I</v>
      </c>
    </row>
    <row r="671" spans="3:15" x14ac:dyDescent="0.25">
      <c r="C671" s="9">
        <v>801</v>
      </c>
      <c r="D671" s="16">
        <v>76201</v>
      </c>
      <c r="E671" s="10" t="str">
        <f t="shared" si="73"/>
        <v>76201</v>
      </c>
      <c r="F671" s="10" t="str">
        <f t="shared" si="74"/>
        <v>7620</v>
      </c>
      <c r="G671" s="10">
        <f t="shared" si="76"/>
        <v>0</v>
      </c>
      <c r="H671" s="10" t="b">
        <f>IF(ISERROR(VLOOKUP(E671,cuentas_pyme!C:C,1,FALSE)),FALSE,TRUE)</f>
        <v>1</v>
      </c>
      <c r="I671" s="10"/>
      <c r="J671" s="11" t="s">
        <v>2512</v>
      </c>
      <c r="K671" s="10" t="str">
        <f t="shared" si="77"/>
        <v>4.I.7620</v>
      </c>
      <c r="L671" s="10" t="str">
        <f t="shared" si="78"/>
        <v>4.I.7620</v>
      </c>
      <c r="M671" s="12" t="s">
        <v>2186</v>
      </c>
      <c r="N671" t="s">
        <v>1586</v>
      </c>
      <c r="O671" t="str">
        <f t="shared" si="75"/>
        <v>4.I</v>
      </c>
    </row>
    <row r="672" spans="3:15" x14ac:dyDescent="0.25">
      <c r="C672" s="9">
        <v>802</v>
      </c>
      <c r="D672" s="16">
        <v>76202</v>
      </c>
      <c r="E672" s="10" t="str">
        <f t="shared" si="73"/>
        <v>76202</v>
      </c>
      <c r="F672" s="10" t="str">
        <f t="shared" si="74"/>
        <v>7620</v>
      </c>
      <c r="G672" s="10">
        <f t="shared" si="76"/>
        <v>0</v>
      </c>
      <c r="H672" s="10" t="b">
        <f>IF(ISERROR(VLOOKUP(E672,cuentas_pyme!C:C,1,FALSE)),FALSE,TRUE)</f>
        <v>1</v>
      </c>
      <c r="I672" s="10"/>
      <c r="J672" s="11" t="s">
        <v>2513</v>
      </c>
      <c r="K672" s="10" t="str">
        <f t="shared" si="77"/>
        <v>4.I.7620</v>
      </c>
      <c r="L672" s="10" t="str">
        <f t="shared" si="78"/>
        <v>4.I.7620</v>
      </c>
      <c r="M672" s="12" t="s">
        <v>2187</v>
      </c>
      <c r="N672" t="s">
        <v>1586</v>
      </c>
      <c r="O672" t="str">
        <f t="shared" si="75"/>
        <v>4.I</v>
      </c>
    </row>
    <row r="673" spans="3:15" x14ac:dyDescent="0.25">
      <c r="C673" s="9">
        <v>803</v>
      </c>
      <c r="D673" s="16">
        <v>76203</v>
      </c>
      <c r="E673" s="10" t="str">
        <f t="shared" ref="E673:E736" si="79">TEXT(D673,0)</f>
        <v>76203</v>
      </c>
      <c r="F673" s="10" t="str">
        <f t="shared" ref="F673:F741" si="80">LEFT(D673,LEN(D673)-1)</f>
        <v>7620</v>
      </c>
      <c r="G673" s="10">
        <f t="shared" si="76"/>
        <v>0</v>
      </c>
      <c r="H673" s="10" t="b">
        <f>IF(ISERROR(VLOOKUP(E673,cuentas_pyme!C:C,1,FALSE)),FALSE,TRUE)</f>
        <v>1</v>
      </c>
      <c r="I673" s="10"/>
      <c r="J673" s="11" t="s">
        <v>2514</v>
      </c>
      <c r="K673" s="10" t="str">
        <f t="shared" si="77"/>
        <v>4.I.7620</v>
      </c>
      <c r="L673" s="10" t="str">
        <f t="shared" si="78"/>
        <v>4.I.7620</v>
      </c>
      <c r="M673" s="12" t="s">
        <v>2188</v>
      </c>
      <c r="N673" t="s">
        <v>1586</v>
      </c>
      <c r="O673" t="str">
        <f t="shared" si="75"/>
        <v>4.I</v>
      </c>
    </row>
    <row r="674" spans="3:15" x14ac:dyDescent="0.25">
      <c r="C674" s="9">
        <v>804</v>
      </c>
      <c r="D674" s="16">
        <v>7621</v>
      </c>
      <c r="E674" s="10" t="str">
        <f t="shared" si="79"/>
        <v>7621</v>
      </c>
      <c r="F674" s="10" t="str">
        <f t="shared" si="80"/>
        <v>762</v>
      </c>
      <c r="G674" s="10">
        <f t="shared" si="76"/>
        <v>1</v>
      </c>
      <c r="H674" s="10" t="b">
        <f>IF(ISERROR(VLOOKUP(E674,cuentas_pyme!C:C,1,FALSE)),FALSE,TRUE)</f>
        <v>1</v>
      </c>
      <c r="I674" s="10"/>
      <c r="J674" s="11" t="s">
        <v>2318</v>
      </c>
      <c r="K674" s="10" t="str">
        <f t="shared" si="77"/>
        <v>4.I.762</v>
      </c>
      <c r="L674" s="10" t="str">
        <f t="shared" si="78"/>
        <v>4.I.762</v>
      </c>
      <c r="M674" s="12" t="s">
        <v>2189</v>
      </c>
      <c r="N674" t="s">
        <v>1586</v>
      </c>
      <c r="O674" t="str">
        <f t="shared" ref="O674:O737" si="81">IFERROR(VLOOKUP(N674,$Q$4:$R$9,2,FALSE),"")</f>
        <v>4.I</v>
      </c>
    </row>
    <row r="675" spans="3:15" x14ac:dyDescent="0.25">
      <c r="C675" s="9">
        <v>805</v>
      </c>
      <c r="D675" s="16">
        <v>76210</v>
      </c>
      <c r="E675" s="10" t="str">
        <f t="shared" si="79"/>
        <v>76210</v>
      </c>
      <c r="F675" s="10" t="str">
        <f t="shared" si="80"/>
        <v>7621</v>
      </c>
      <c r="G675" s="10">
        <f t="shared" si="76"/>
        <v>0</v>
      </c>
      <c r="H675" s="10" t="b">
        <f>IF(ISERROR(VLOOKUP(E675,cuentas_pyme!C:C,1,FALSE)),FALSE,TRUE)</f>
        <v>1</v>
      </c>
      <c r="I675" s="10"/>
      <c r="J675" s="11" t="s">
        <v>2515</v>
      </c>
      <c r="K675" s="10" t="str">
        <f t="shared" si="77"/>
        <v>4.I.7621</v>
      </c>
      <c r="L675" s="10" t="str">
        <f t="shared" si="78"/>
        <v>4.I.7621</v>
      </c>
      <c r="M675" s="12" t="s">
        <v>2190</v>
      </c>
      <c r="N675" t="s">
        <v>1586</v>
      </c>
      <c r="O675" t="str">
        <f t="shared" si="81"/>
        <v>4.I</v>
      </c>
    </row>
    <row r="676" spans="3:15" x14ac:dyDescent="0.25">
      <c r="C676" s="9">
        <v>806</v>
      </c>
      <c r="D676" s="16">
        <v>76211</v>
      </c>
      <c r="E676" s="10" t="str">
        <f t="shared" si="79"/>
        <v>76211</v>
      </c>
      <c r="F676" s="10" t="str">
        <f t="shared" si="80"/>
        <v>7621</v>
      </c>
      <c r="G676" s="10">
        <f t="shared" si="76"/>
        <v>0</v>
      </c>
      <c r="H676" s="10" t="b">
        <f>IF(ISERROR(VLOOKUP(E676,cuentas_pyme!C:C,1,FALSE)),FALSE,TRUE)</f>
        <v>1</v>
      </c>
      <c r="I676" s="10"/>
      <c r="J676" s="11" t="s">
        <v>2516</v>
      </c>
      <c r="K676" s="10" t="str">
        <f t="shared" si="77"/>
        <v>4.I.7621</v>
      </c>
      <c r="L676" s="10" t="str">
        <f t="shared" si="78"/>
        <v>4.I.7621</v>
      </c>
      <c r="M676" s="12" t="s">
        <v>2191</v>
      </c>
      <c r="N676" t="s">
        <v>1586</v>
      </c>
      <c r="O676" t="str">
        <f t="shared" si="81"/>
        <v>4.I</v>
      </c>
    </row>
    <row r="677" spans="3:15" x14ac:dyDescent="0.25">
      <c r="C677" s="9">
        <v>807</v>
      </c>
      <c r="D677" s="16">
        <v>76212</v>
      </c>
      <c r="E677" s="10" t="str">
        <f t="shared" si="79"/>
        <v>76212</v>
      </c>
      <c r="F677" s="10" t="str">
        <f t="shared" si="80"/>
        <v>7621</v>
      </c>
      <c r="G677" s="10">
        <f t="shared" si="76"/>
        <v>0</v>
      </c>
      <c r="H677" s="10" t="b">
        <f>IF(ISERROR(VLOOKUP(E677,cuentas_pyme!C:C,1,FALSE)),FALSE,TRUE)</f>
        <v>1</v>
      </c>
      <c r="I677" s="10"/>
      <c r="J677" s="11" t="s">
        <v>2517</v>
      </c>
      <c r="K677" s="10" t="str">
        <f t="shared" si="77"/>
        <v>4.I.7621</v>
      </c>
      <c r="L677" s="10" t="str">
        <f t="shared" si="78"/>
        <v>4.I.7621</v>
      </c>
      <c r="M677" s="12" t="s">
        <v>2192</v>
      </c>
      <c r="N677" t="s">
        <v>1586</v>
      </c>
      <c r="O677" t="str">
        <f t="shared" si="81"/>
        <v>4.I</v>
      </c>
    </row>
    <row r="678" spans="3:15" x14ac:dyDescent="0.25">
      <c r="C678" s="9">
        <v>808</v>
      </c>
      <c r="D678" s="16">
        <v>76213</v>
      </c>
      <c r="E678" s="10" t="str">
        <f t="shared" si="79"/>
        <v>76213</v>
      </c>
      <c r="F678" s="10" t="str">
        <f t="shared" si="80"/>
        <v>7621</v>
      </c>
      <c r="G678" s="10">
        <f t="shared" si="76"/>
        <v>0</v>
      </c>
      <c r="H678" s="10" t="b">
        <f>IF(ISERROR(VLOOKUP(E678,cuentas_pyme!C:C,1,FALSE)),FALSE,TRUE)</f>
        <v>1</v>
      </c>
      <c r="I678" s="10"/>
      <c r="J678" s="11" t="s">
        <v>2518</v>
      </c>
      <c r="K678" s="10" t="str">
        <f t="shared" si="77"/>
        <v>4.I.7621</v>
      </c>
      <c r="L678" s="10" t="str">
        <f t="shared" si="78"/>
        <v>4.I.7621</v>
      </c>
      <c r="M678" s="12" t="s">
        <v>2193</v>
      </c>
      <c r="N678" t="s">
        <v>1586</v>
      </c>
      <c r="O678" t="str">
        <f t="shared" si="81"/>
        <v>4.I</v>
      </c>
    </row>
    <row r="679" spans="3:15" x14ac:dyDescent="0.25">
      <c r="C679" s="9">
        <v>809</v>
      </c>
      <c r="D679" s="16">
        <v>763</v>
      </c>
      <c r="E679" s="10" t="str">
        <f t="shared" si="79"/>
        <v>763</v>
      </c>
      <c r="F679" s="10" t="str">
        <f t="shared" si="80"/>
        <v>76</v>
      </c>
      <c r="G679" s="10">
        <f t="shared" si="76"/>
        <v>0</v>
      </c>
      <c r="H679" s="10" t="b">
        <f>IF(ISERROR(VLOOKUP(E679,cuentas_pyme!C:C,1,FALSE)),FALSE,TRUE)</f>
        <v>1</v>
      </c>
      <c r="I679" s="10"/>
      <c r="J679" s="11" t="s">
        <v>2319</v>
      </c>
      <c r="K679" s="10" t="str">
        <f t="shared" si="77"/>
        <v>4.I.76</v>
      </c>
      <c r="L679" s="10" t="str">
        <f t="shared" si="78"/>
        <v>4.I.76</v>
      </c>
      <c r="M679" s="12" t="s">
        <v>2194</v>
      </c>
      <c r="N679" t="s">
        <v>1586</v>
      </c>
      <c r="O679" t="str">
        <f t="shared" si="81"/>
        <v>4.I</v>
      </c>
    </row>
    <row r="680" spans="3:15" x14ac:dyDescent="0.25">
      <c r="C680" s="9">
        <v>814</v>
      </c>
      <c r="D680" s="16">
        <v>766</v>
      </c>
      <c r="E680" s="10" t="str">
        <f t="shared" si="79"/>
        <v>766</v>
      </c>
      <c r="F680" s="10" t="str">
        <f t="shared" si="80"/>
        <v>76</v>
      </c>
      <c r="G680" s="10">
        <f t="shared" si="76"/>
        <v>1</v>
      </c>
      <c r="H680" s="10" t="b">
        <f>IF(ISERROR(VLOOKUP(E680,cuentas_pyme!C:C,1,FALSE)),FALSE,TRUE)</f>
        <v>1</v>
      </c>
      <c r="I680" s="10"/>
      <c r="J680" s="11" t="s">
        <v>2320</v>
      </c>
      <c r="K680" s="10" t="str">
        <f t="shared" si="77"/>
        <v>4.I.76</v>
      </c>
      <c r="L680" s="10" t="str">
        <f t="shared" si="78"/>
        <v>4.I.76</v>
      </c>
      <c r="M680" s="12" t="s">
        <v>2195</v>
      </c>
      <c r="N680" t="s">
        <v>1586</v>
      </c>
      <c r="O680" t="str">
        <f t="shared" si="81"/>
        <v>4.I</v>
      </c>
    </row>
    <row r="681" spans="3:15" x14ac:dyDescent="0.25">
      <c r="C681" s="9">
        <v>815</v>
      </c>
      <c r="D681" s="16">
        <v>7660</v>
      </c>
      <c r="E681" s="10" t="str">
        <f t="shared" si="79"/>
        <v>7660</v>
      </c>
      <c r="F681" s="10" t="str">
        <f t="shared" si="80"/>
        <v>766</v>
      </c>
      <c r="G681" s="10">
        <f t="shared" si="76"/>
        <v>0</v>
      </c>
      <c r="H681" s="10" t="b">
        <f>IF(ISERROR(VLOOKUP(E681,cuentas_pyme!C:C,1,FALSE)),FALSE,TRUE)</f>
        <v>1</v>
      </c>
      <c r="I681" s="10"/>
      <c r="J681" s="11" t="s">
        <v>2519</v>
      </c>
      <c r="K681" s="10" t="str">
        <f t="shared" si="77"/>
        <v>4.I.766</v>
      </c>
      <c r="L681" s="10" t="str">
        <f t="shared" si="78"/>
        <v>4.I.766</v>
      </c>
      <c r="M681" s="12" t="s">
        <v>2196</v>
      </c>
      <c r="N681" t="s">
        <v>1586</v>
      </c>
      <c r="O681" t="str">
        <f t="shared" si="81"/>
        <v>4.I</v>
      </c>
    </row>
    <row r="682" spans="3:15" x14ac:dyDescent="0.25">
      <c r="C682" s="9">
        <v>816</v>
      </c>
      <c r="D682" s="16">
        <v>7661</v>
      </c>
      <c r="E682" s="10" t="str">
        <f t="shared" si="79"/>
        <v>7661</v>
      </c>
      <c r="F682" s="10" t="str">
        <f t="shared" si="80"/>
        <v>766</v>
      </c>
      <c r="G682" s="10">
        <f t="shared" si="76"/>
        <v>0</v>
      </c>
      <c r="H682" s="10" t="b">
        <f>IF(ISERROR(VLOOKUP(E682,cuentas_pyme!C:C,1,FALSE)),FALSE,TRUE)</f>
        <v>1</v>
      </c>
      <c r="I682" s="10"/>
      <c r="J682" s="11" t="s">
        <v>2520</v>
      </c>
      <c r="K682" s="10" t="str">
        <f t="shared" si="77"/>
        <v>4.I.766</v>
      </c>
      <c r="L682" s="10" t="str">
        <f t="shared" si="78"/>
        <v>4.I.766</v>
      </c>
      <c r="M682" s="12" t="s">
        <v>2197</v>
      </c>
      <c r="N682" t="s">
        <v>1586</v>
      </c>
      <c r="O682" t="str">
        <f t="shared" si="81"/>
        <v>4.I</v>
      </c>
    </row>
    <row r="683" spans="3:15" x14ac:dyDescent="0.25">
      <c r="C683" s="9">
        <v>817</v>
      </c>
      <c r="D683" s="16">
        <v>7662</v>
      </c>
      <c r="E683" s="10" t="str">
        <f t="shared" si="79"/>
        <v>7662</v>
      </c>
      <c r="F683" s="10" t="str">
        <f t="shared" si="80"/>
        <v>766</v>
      </c>
      <c r="G683" s="10">
        <f t="shared" si="76"/>
        <v>0</v>
      </c>
      <c r="H683" s="10" t="b">
        <f>IF(ISERROR(VLOOKUP(E683,cuentas_pyme!C:C,1,FALSE)),FALSE,TRUE)</f>
        <v>1</v>
      </c>
      <c r="I683" s="10"/>
      <c r="J683" s="11" t="s">
        <v>2521</v>
      </c>
      <c r="K683" s="10" t="str">
        <f t="shared" si="77"/>
        <v>4.I.766</v>
      </c>
      <c r="L683" s="10" t="str">
        <f t="shared" si="78"/>
        <v>4.I.766</v>
      </c>
      <c r="M683" s="12" t="s">
        <v>2198</v>
      </c>
      <c r="N683" t="s">
        <v>1586</v>
      </c>
      <c r="O683" t="str">
        <f t="shared" si="81"/>
        <v>4.I</v>
      </c>
    </row>
    <row r="684" spans="3:15" x14ac:dyDescent="0.25">
      <c r="C684" s="9">
        <v>818</v>
      </c>
      <c r="D684" s="16">
        <v>7663</v>
      </c>
      <c r="E684" s="10" t="str">
        <f t="shared" si="79"/>
        <v>7663</v>
      </c>
      <c r="F684" s="10" t="str">
        <f t="shared" si="80"/>
        <v>766</v>
      </c>
      <c r="G684" s="10">
        <f t="shared" si="76"/>
        <v>0</v>
      </c>
      <c r="H684" s="10" t="b">
        <f>IF(ISERROR(VLOOKUP(E684,cuentas_pyme!C:C,1,FALSE)),FALSE,TRUE)</f>
        <v>1</v>
      </c>
      <c r="I684" s="10"/>
      <c r="J684" s="11" t="s">
        <v>2522</v>
      </c>
      <c r="K684" s="10" t="str">
        <f t="shared" si="77"/>
        <v>4.I.766</v>
      </c>
      <c r="L684" s="10" t="str">
        <f t="shared" si="78"/>
        <v>4.I.766</v>
      </c>
      <c r="M684" s="12" t="s">
        <v>2199</v>
      </c>
      <c r="N684" t="s">
        <v>1586</v>
      </c>
      <c r="O684" t="str">
        <f t="shared" si="81"/>
        <v>4.I</v>
      </c>
    </row>
    <row r="685" spans="3:15" x14ac:dyDescent="0.25">
      <c r="C685" s="9">
        <v>819</v>
      </c>
      <c r="D685" s="16">
        <v>7665</v>
      </c>
      <c r="E685" s="10" t="str">
        <f t="shared" si="79"/>
        <v>7665</v>
      </c>
      <c r="F685" s="10" t="str">
        <f t="shared" si="80"/>
        <v>766</v>
      </c>
      <c r="G685" s="10">
        <f t="shared" si="76"/>
        <v>0</v>
      </c>
      <c r="H685" s="10" t="b">
        <f>IF(ISERROR(VLOOKUP(E685,cuentas_pyme!C:C,1,FALSE)),FALSE,TRUE)</f>
        <v>1</v>
      </c>
      <c r="I685" s="10"/>
      <c r="J685" s="11" t="s">
        <v>2523</v>
      </c>
      <c r="K685" s="10" t="str">
        <f t="shared" si="77"/>
        <v>4.I.766</v>
      </c>
      <c r="L685" s="10" t="str">
        <f t="shared" si="78"/>
        <v>4.I.766</v>
      </c>
      <c r="M685" s="12" t="s">
        <v>2200</v>
      </c>
      <c r="N685" t="s">
        <v>1586</v>
      </c>
      <c r="O685" t="str">
        <f t="shared" si="81"/>
        <v>4.I</v>
      </c>
    </row>
    <row r="686" spans="3:15" x14ac:dyDescent="0.25">
      <c r="C686" s="9">
        <v>820</v>
      </c>
      <c r="D686" s="16">
        <v>7666</v>
      </c>
      <c r="E686" s="10" t="str">
        <f t="shared" si="79"/>
        <v>7666</v>
      </c>
      <c r="F686" s="10" t="str">
        <f t="shared" si="80"/>
        <v>766</v>
      </c>
      <c r="G686" s="10">
        <f t="shared" si="76"/>
        <v>0</v>
      </c>
      <c r="H686" s="10" t="b">
        <f>IF(ISERROR(VLOOKUP(E686,cuentas_pyme!C:C,1,FALSE)),FALSE,TRUE)</f>
        <v>1</v>
      </c>
      <c r="I686" s="10"/>
      <c r="J686" s="11" t="s">
        <v>2524</v>
      </c>
      <c r="K686" s="10" t="str">
        <f t="shared" si="77"/>
        <v>4.I.766</v>
      </c>
      <c r="L686" s="10" t="str">
        <f t="shared" si="78"/>
        <v>4.I.766</v>
      </c>
      <c r="M686" s="12" t="s">
        <v>2201</v>
      </c>
      <c r="N686" t="s">
        <v>1586</v>
      </c>
      <c r="O686" t="str">
        <f t="shared" si="81"/>
        <v>4.I</v>
      </c>
    </row>
    <row r="687" spans="3:15" x14ac:dyDescent="0.25">
      <c r="C687" s="9">
        <v>821</v>
      </c>
      <c r="D687" s="16">
        <v>7667</v>
      </c>
      <c r="E687" s="10" t="str">
        <f t="shared" si="79"/>
        <v>7667</v>
      </c>
      <c r="F687" s="10" t="str">
        <f t="shared" si="80"/>
        <v>766</v>
      </c>
      <c r="G687" s="10">
        <f t="shared" si="76"/>
        <v>0</v>
      </c>
      <c r="H687" s="10" t="b">
        <f>IF(ISERROR(VLOOKUP(E687,cuentas_pyme!C:C,1,FALSE)),FALSE,TRUE)</f>
        <v>1</v>
      </c>
      <c r="I687" s="10"/>
      <c r="J687" s="11" t="s">
        <v>2525</v>
      </c>
      <c r="K687" s="10" t="str">
        <f t="shared" si="77"/>
        <v>4.I.766</v>
      </c>
      <c r="L687" s="10" t="str">
        <f t="shared" si="78"/>
        <v>4.I.766</v>
      </c>
      <c r="M687" s="12" t="s">
        <v>2202</v>
      </c>
      <c r="N687" t="s">
        <v>1586</v>
      </c>
      <c r="O687" t="str">
        <f t="shared" si="81"/>
        <v>4.I</v>
      </c>
    </row>
    <row r="688" spans="3:15" x14ac:dyDescent="0.25">
      <c r="C688" s="9">
        <v>822</v>
      </c>
      <c r="D688" s="16">
        <v>7668</v>
      </c>
      <c r="E688" s="10" t="str">
        <f t="shared" si="79"/>
        <v>7668</v>
      </c>
      <c r="F688" s="10" t="str">
        <f t="shared" si="80"/>
        <v>766</v>
      </c>
      <c r="G688" s="10">
        <f t="shared" si="76"/>
        <v>0</v>
      </c>
      <c r="H688" s="10" t="b">
        <f>IF(ISERROR(VLOOKUP(E688,cuentas_pyme!C:C,1,FALSE)),FALSE,TRUE)</f>
        <v>1</v>
      </c>
      <c r="I688" s="10"/>
      <c r="J688" s="11" t="s">
        <v>2526</v>
      </c>
      <c r="K688" s="10" t="str">
        <f t="shared" si="77"/>
        <v>4.I.766</v>
      </c>
      <c r="L688" s="10" t="str">
        <f t="shared" si="78"/>
        <v>4.I.766</v>
      </c>
      <c r="M688" s="12" t="s">
        <v>2203</v>
      </c>
      <c r="N688" t="s">
        <v>1586</v>
      </c>
      <c r="O688" t="str">
        <f t="shared" si="81"/>
        <v>4.I</v>
      </c>
    </row>
    <row r="689" spans="3:15" x14ac:dyDescent="0.25">
      <c r="C689" s="9">
        <v>824</v>
      </c>
      <c r="D689" s="16">
        <v>768</v>
      </c>
      <c r="E689" s="10" t="str">
        <f t="shared" si="79"/>
        <v>768</v>
      </c>
      <c r="F689" s="10" t="str">
        <f t="shared" si="80"/>
        <v>76</v>
      </c>
      <c r="G689" s="10">
        <f t="shared" si="76"/>
        <v>0</v>
      </c>
      <c r="H689" s="10" t="b">
        <f>IF(ISERROR(VLOOKUP(E689,cuentas_pyme!C:C,1,FALSE)),FALSE,TRUE)</f>
        <v>1</v>
      </c>
      <c r="I689" s="10"/>
      <c r="J689" s="11" t="s">
        <v>2527</v>
      </c>
      <c r="K689" s="10" t="str">
        <f t="shared" si="77"/>
        <v>4.I.76</v>
      </c>
      <c r="L689" s="10" t="str">
        <f t="shared" si="78"/>
        <v>4.I.76</v>
      </c>
      <c r="M689" s="12" t="s">
        <v>2204</v>
      </c>
      <c r="N689" t="s">
        <v>1586</v>
      </c>
      <c r="O689" t="str">
        <f t="shared" si="81"/>
        <v>4.I</v>
      </c>
    </row>
    <row r="690" spans="3:15" x14ac:dyDescent="0.25">
      <c r="C690" s="9">
        <v>825</v>
      </c>
      <c r="D690" s="16">
        <v>769</v>
      </c>
      <c r="E690" s="10" t="str">
        <f t="shared" si="79"/>
        <v>769</v>
      </c>
      <c r="F690" s="10" t="str">
        <f t="shared" si="80"/>
        <v>76</v>
      </c>
      <c r="G690" s="10">
        <f t="shared" si="76"/>
        <v>0</v>
      </c>
      <c r="H690" s="10" t="b">
        <f>IF(ISERROR(VLOOKUP(E690,cuentas_pyme!C:C,1,FALSE)),FALSE,TRUE)</f>
        <v>1</v>
      </c>
      <c r="I690" s="10"/>
      <c r="J690" s="11" t="s">
        <v>2528</v>
      </c>
      <c r="K690" s="10" t="str">
        <f t="shared" si="77"/>
        <v>4.I.76</v>
      </c>
      <c r="L690" s="10" t="str">
        <f t="shared" si="78"/>
        <v>4.I.76</v>
      </c>
      <c r="M690" s="12" t="s">
        <v>2205</v>
      </c>
      <c r="N690" t="s">
        <v>1586</v>
      </c>
      <c r="O690" t="str">
        <f t="shared" si="81"/>
        <v>4.I</v>
      </c>
    </row>
    <row r="691" spans="3:15" x14ac:dyDescent="0.25">
      <c r="C691" s="9">
        <v>826</v>
      </c>
      <c r="D691" s="16">
        <v>77</v>
      </c>
      <c r="E691" s="10" t="str">
        <f t="shared" si="79"/>
        <v>77</v>
      </c>
      <c r="F691" s="10" t="str">
        <f t="shared" si="80"/>
        <v>7</v>
      </c>
      <c r="G691" s="10">
        <f t="shared" si="76"/>
        <v>1</v>
      </c>
      <c r="H691" s="10" t="b">
        <f>IF(ISERROR(VLOOKUP(E691,cuentas_pyme!C:C,1,FALSE)),FALSE,TRUE)</f>
        <v>1</v>
      </c>
      <c r="I691" s="10"/>
      <c r="J691" s="11" t="s">
        <v>2321</v>
      </c>
      <c r="K691" s="10" t="s">
        <v>2267</v>
      </c>
      <c r="L691" s="10" t="str">
        <f t="shared" si="78"/>
        <v>4.I</v>
      </c>
      <c r="M691" s="12" t="s">
        <v>3090</v>
      </c>
      <c r="N691" t="s">
        <v>1586</v>
      </c>
      <c r="O691" t="str">
        <f t="shared" si="81"/>
        <v>4.I</v>
      </c>
    </row>
    <row r="692" spans="3:15" x14ac:dyDescent="0.25">
      <c r="C692" s="9">
        <v>827</v>
      </c>
      <c r="D692" s="16">
        <v>770</v>
      </c>
      <c r="E692" s="10" t="str">
        <f t="shared" si="79"/>
        <v>770</v>
      </c>
      <c r="F692" s="10" t="str">
        <f t="shared" si="80"/>
        <v>77</v>
      </c>
      <c r="G692" s="10">
        <f t="shared" si="76"/>
        <v>0</v>
      </c>
      <c r="H692" s="10" t="b">
        <f>IF(ISERROR(VLOOKUP(E692,cuentas_pyme!C:C,1,FALSE)),FALSE,TRUE)</f>
        <v>1</v>
      </c>
      <c r="I692" s="10"/>
      <c r="J692" s="11" t="s">
        <v>2529</v>
      </c>
      <c r="K692" s="10" t="str">
        <f t="shared" si="77"/>
        <v>4.I.77</v>
      </c>
      <c r="L692" s="10" t="str">
        <f t="shared" si="78"/>
        <v>4.I.77</v>
      </c>
      <c r="M692" s="12" t="s">
        <v>2206</v>
      </c>
      <c r="N692" t="s">
        <v>1586</v>
      </c>
      <c r="O692" t="str">
        <f t="shared" si="81"/>
        <v>4.I</v>
      </c>
    </row>
    <row r="693" spans="3:15" x14ac:dyDescent="0.25">
      <c r="C693" s="9">
        <v>828</v>
      </c>
      <c r="D693" s="16">
        <v>771</v>
      </c>
      <c r="E693" s="10" t="str">
        <f t="shared" si="79"/>
        <v>771</v>
      </c>
      <c r="F693" s="10" t="str">
        <f t="shared" si="80"/>
        <v>77</v>
      </c>
      <c r="G693" s="10">
        <f t="shared" si="76"/>
        <v>0</v>
      </c>
      <c r="H693" s="10" t="b">
        <f>IF(ISERROR(VLOOKUP(E693,cuentas_pyme!C:C,1,FALSE)),FALSE,TRUE)</f>
        <v>1</v>
      </c>
      <c r="I693" s="10"/>
      <c r="J693" s="11" t="s">
        <v>2530</v>
      </c>
      <c r="K693" s="10" t="str">
        <f t="shared" si="77"/>
        <v>4.I.77</v>
      </c>
      <c r="L693" s="10" t="str">
        <f t="shared" si="78"/>
        <v>4.I.77</v>
      </c>
      <c r="M693" s="12" t="s">
        <v>2207</v>
      </c>
      <c r="N693" t="s">
        <v>1586</v>
      </c>
      <c r="O693" t="str">
        <f t="shared" si="81"/>
        <v>4.I</v>
      </c>
    </row>
    <row r="694" spans="3:15" x14ac:dyDescent="0.25">
      <c r="C694" s="9">
        <v>829</v>
      </c>
      <c r="D694" s="16">
        <v>772</v>
      </c>
      <c r="E694" s="10" t="str">
        <f t="shared" si="79"/>
        <v>772</v>
      </c>
      <c r="F694" s="10" t="str">
        <f t="shared" si="80"/>
        <v>77</v>
      </c>
      <c r="G694" s="10">
        <f t="shared" si="76"/>
        <v>0</v>
      </c>
      <c r="H694" s="10" t="b">
        <f>IF(ISERROR(VLOOKUP(E694,cuentas_pyme!C:C,1,FALSE)),FALSE,TRUE)</f>
        <v>1</v>
      </c>
      <c r="I694" s="10"/>
      <c r="J694" s="11" t="s">
        <v>2531</v>
      </c>
      <c r="K694" s="10" t="str">
        <f t="shared" si="77"/>
        <v>4.I.77</v>
      </c>
      <c r="L694" s="10" t="str">
        <f t="shared" si="78"/>
        <v>4.I.77</v>
      </c>
      <c r="M694" s="12" t="s">
        <v>2208</v>
      </c>
      <c r="N694" t="s">
        <v>1586</v>
      </c>
      <c r="O694" t="str">
        <f t="shared" si="81"/>
        <v>4.I</v>
      </c>
    </row>
    <row r="695" spans="3:15" x14ac:dyDescent="0.25">
      <c r="C695" s="9">
        <v>830</v>
      </c>
      <c r="D695" s="16">
        <v>773</v>
      </c>
      <c r="E695" s="10" t="str">
        <f t="shared" si="79"/>
        <v>773</v>
      </c>
      <c r="F695" s="10" t="str">
        <f t="shared" si="80"/>
        <v>77</v>
      </c>
      <c r="G695" s="10">
        <f t="shared" si="76"/>
        <v>1</v>
      </c>
      <c r="H695" s="10" t="b">
        <f>IF(ISERROR(VLOOKUP(E695,cuentas_pyme!C:C,1,FALSE)),FALSE,TRUE)</f>
        <v>1</v>
      </c>
      <c r="I695" s="10"/>
      <c r="J695" s="11" t="s">
        <v>2322</v>
      </c>
      <c r="K695" s="10" t="str">
        <f t="shared" si="77"/>
        <v>4.I.77</v>
      </c>
      <c r="L695" s="10" t="str">
        <f t="shared" si="78"/>
        <v>4.I.77</v>
      </c>
      <c r="M695" s="12" t="s">
        <v>2209</v>
      </c>
      <c r="N695" t="s">
        <v>1586</v>
      </c>
      <c r="O695" t="str">
        <f t="shared" si="81"/>
        <v>4.I</v>
      </c>
    </row>
    <row r="696" spans="3:15" x14ac:dyDescent="0.25">
      <c r="C696" s="9">
        <v>831</v>
      </c>
      <c r="D696" s="16">
        <v>7733</v>
      </c>
      <c r="E696" s="10" t="str">
        <f t="shared" si="79"/>
        <v>7733</v>
      </c>
      <c r="F696" s="10" t="str">
        <f t="shared" si="80"/>
        <v>773</v>
      </c>
      <c r="G696" s="10">
        <f t="shared" si="76"/>
        <v>0</v>
      </c>
      <c r="H696" s="10" t="b">
        <f>IF(ISERROR(VLOOKUP(E696,cuentas_pyme!C:C,1,FALSE)),FALSE,TRUE)</f>
        <v>1</v>
      </c>
      <c r="I696" s="10"/>
      <c r="J696" s="11" t="s">
        <v>2532</v>
      </c>
      <c r="K696" s="10" t="str">
        <f t="shared" si="77"/>
        <v>4.I.773</v>
      </c>
      <c r="L696" s="10" t="str">
        <f t="shared" si="78"/>
        <v>4.I.773</v>
      </c>
      <c r="M696" s="12" t="s">
        <v>2210</v>
      </c>
      <c r="N696" t="s">
        <v>1586</v>
      </c>
      <c r="O696" t="str">
        <f t="shared" si="81"/>
        <v>4.I</v>
      </c>
    </row>
    <row r="697" spans="3:15" x14ac:dyDescent="0.25">
      <c r="C697" s="9">
        <v>832</v>
      </c>
      <c r="D697" s="16">
        <v>7734</v>
      </c>
      <c r="E697" s="10" t="str">
        <f t="shared" si="79"/>
        <v>7734</v>
      </c>
      <c r="F697" s="10" t="str">
        <f t="shared" si="80"/>
        <v>773</v>
      </c>
      <c r="G697" s="10">
        <f t="shared" si="76"/>
        <v>0</v>
      </c>
      <c r="H697" s="10" t="b">
        <f>IF(ISERROR(VLOOKUP(E697,cuentas_pyme!C:C,1,FALSE)),FALSE,TRUE)</f>
        <v>1</v>
      </c>
      <c r="I697" s="10"/>
      <c r="J697" s="11" t="s">
        <v>2533</v>
      </c>
      <c r="K697" s="10" t="str">
        <f t="shared" si="77"/>
        <v>4.I.773</v>
      </c>
      <c r="L697" s="10" t="str">
        <f t="shared" si="78"/>
        <v>4.I.773</v>
      </c>
      <c r="M697" s="12" t="s">
        <v>2211</v>
      </c>
      <c r="N697" t="s">
        <v>1586</v>
      </c>
      <c r="O697" t="str">
        <f t="shared" si="81"/>
        <v>4.I</v>
      </c>
    </row>
    <row r="698" spans="3:15" x14ac:dyDescent="0.25">
      <c r="C698" s="9">
        <v>833</v>
      </c>
      <c r="D698" s="16">
        <v>7735</v>
      </c>
      <c r="E698" s="10" t="str">
        <f t="shared" si="79"/>
        <v>7735</v>
      </c>
      <c r="F698" s="10" t="str">
        <f t="shared" si="80"/>
        <v>773</v>
      </c>
      <c r="G698" s="10">
        <f t="shared" ref="G698:G741" si="82">IF(IFERROR(VLOOKUP(E698,F:F,1,FALSE),0)&lt;&gt;0,1,0)</f>
        <v>0</v>
      </c>
      <c r="H698" s="10" t="b">
        <f>IF(ISERROR(VLOOKUP(E698,cuentas_pyme!C:C,1,FALSE)),FALSE,TRUE)</f>
        <v>1</v>
      </c>
      <c r="I698" s="10"/>
      <c r="J698" s="11" t="s">
        <v>2534</v>
      </c>
      <c r="K698" s="10" t="str">
        <f t="shared" si="77"/>
        <v>4.I.773</v>
      </c>
      <c r="L698" s="10" t="str">
        <f t="shared" si="78"/>
        <v>4.I.773</v>
      </c>
      <c r="M698" s="12" t="s">
        <v>2212</v>
      </c>
      <c r="N698" t="s">
        <v>1586</v>
      </c>
      <c r="O698" t="str">
        <f t="shared" si="81"/>
        <v>4.I</v>
      </c>
    </row>
    <row r="699" spans="3:15" x14ac:dyDescent="0.25">
      <c r="C699" s="9">
        <v>835</v>
      </c>
      <c r="D699" s="16">
        <v>775</v>
      </c>
      <c r="E699" s="10" t="str">
        <f t="shared" si="79"/>
        <v>775</v>
      </c>
      <c r="F699" s="10" t="str">
        <f t="shared" si="80"/>
        <v>77</v>
      </c>
      <c r="G699" s="10">
        <f t="shared" si="82"/>
        <v>0</v>
      </c>
      <c r="H699" s="10" t="b">
        <f>IF(ISERROR(VLOOKUP(E699,cuentas_pyme!C:C,1,FALSE)),FALSE,TRUE)</f>
        <v>1</v>
      </c>
      <c r="I699" s="10"/>
      <c r="J699" s="11" t="s">
        <v>2535</v>
      </c>
      <c r="K699" s="10" t="str">
        <f t="shared" si="77"/>
        <v>4.I.77</v>
      </c>
      <c r="L699" s="10" t="str">
        <f t="shared" si="78"/>
        <v>4.I.77</v>
      </c>
      <c r="M699" s="12" t="s">
        <v>2213</v>
      </c>
      <c r="N699" t="s">
        <v>1586</v>
      </c>
      <c r="O699" t="str">
        <f t="shared" si="81"/>
        <v>4.I</v>
      </c>
    </row>
    <row r="700" spans="3:15" x14ac:dyDescent="0.25">
      <c r="C700" s="9">
        <v>836</v>
      </c>
      <c r="D700" s="16">
        <v>778</v>
      </c>
      <c r="E700" s="10" t="str">
        <f t="shared" si="79"/>
        <v>778</v>
      </c>
      <c r="F700" s="10" t="str">
        <f t="shared" si="80"/>
        <v>77</v>
      </c>
      <c r="G700" s="10">
        <f t="shared" si="82"/>
        <v>0</v>
      </c>
      <c r="H700" s="10" t="b">
        <f>IF(ISERROR(VLOOKUP(E700,cuentas_pyme!C:C,1,FALSE)),FALSE,TRUE)</f>
        <v>1</v>
      </c>
      <c r="I700" s="10"/>
      <c r="J700" s="11" t="s">
        <v>2536</v>
      </c>
      <c r="K700" s="10" t="str">
        <f t="shared" si="77"/>
        <v>4.I.77</v>
      </c>
      <c r="L700" s="10" t="str">
        <f t="shared" si="78"/>
        <v>4.I.77</v>
      </c>
      <c r="M700" s="12" t="s">
        <v>2214</v>
      </c>
      <c r="N700" t="s">
        <v>1586</v>
      </c>
      <c r="O700" t="str">
        <f t="shared" si="81"/>
        <v>4.I</v>
      </c>
    </row>
    <row r="701" spans="3:15" x14ac:dyDescent="0.25">
      <c r="C701" s="9">
        <v>837</v>
      </c>
      <c r="D701" s="16">
        <v>79</v>
      </c>
      <c r="E701" s="10" t="str">
        <f t="shared" si="79"/>
        <v>79</v>
      </c>
      <c r="F701" s="10" t="str">
        <f t="shared" si="80"/>
        <v>7</v>
      </c>
      <c r="G701" s="10">
        <f t="shared" si="82"/>
        <v>1</v>
      </c>
      <c r="H701" s="10" t="b">
        <f>IF(ISERROR(VLOOKUP(E701,cuentas_pyme!C:C,1,FALSE)),FALSE,TRUE)</f>
        <v>1</v>
      </c>
      <c r="I701" s="10"/>
      <c r="J701" s="11" t="s">
        <v>2323</v>
      </c>
      <c r="K701" s="10" t="s">
        <v>2267</v>
      </c>
      <c r="L701" s="10" t="str">
        <f t="shared" si="78"/>
        <v>4.I</v>
      </c>
      <c r="M701" s="12" t="s">
        <v>3091</v>
      </c>
      <c r="N701" t="s">
        <v>1586</v>
      </c>
      <c r="O701" t="str">
        <f t="shared" si="81"/>
        <v>4.I</v>
      </c>
    </row>
    <row r="702" spans="3:15" x14ac:dyDescent="0.25">
      <c r="C702" s="9">
        <v>838</v>
      </c>
      <c r="D702" s="16">
        <v>790</v>
      </c>
      <c r="E702" s="10" t="str">
        <f t="shared" si="79"/>
        <v>790</v>
      </c>
      <c r="F702" s="10" t="str">
        <f t="shared" si="80"/>
        <v>79</v>
      </c>
      <c r="G702" s="10">
        <f t="shared" si="82"/>
        <v>0</v>
      </c>
      <c r="H702" s="10" t="b">
        <f>IF(ISERROR(VLOOKUP(E702,cuentas_pyme!C:C,1,FALSE)),FALSE,TRUE)</f>
        <v>1</v>
      </c>
      <c r="I702" s="10"/>
      <c r="J702" s="11" t="s">
        <v>2537</v>
      </c>
      <c r="K702" s="10" t="str">
        <f t="shared" si="77"/>
        <v>4.I.79</v>
      </c>
      <c r="L702" s="10" t="str">
        <f t="shared" si="78"/>
        <v>4.I.79</v>
      </c>
      <c r="M702" s="12" t="s">
        <v>2215</v>
      </c>
      <c r="N702" t="s">
        <v>1586</v>
      </c>
      <c r="O702" t="str">
        <f t="shared" si="81"/>
        <v>4.I</v>
      </c>
    </row>
    <row r="703" spans="3:15" x14ac:dyDescent="0.25">
      <c r="C703" s="9">
        <v>839</v>
      </c>
      <c r="D703" s="16">
        <v>791</v>
      </c>
      <c r="E703" s="10" t="str">
        <f t="shared" si="79"/>
        <v>791</v>
      </c>
      <c r="F703" s="10" t="str">
        <f t="shared" si="80"/>
        <v>79</v>
      </c>
      <c r="G703" s="10">
        <f t="shared" si="82"/>
        <v>0</v>
      </c>
      <c r="H703" s="10" t="b">
        <f>IF(ISERROR(VLOOKUP(E703,cuentas_pyme!C:C,1,FALSE)),FALSE,TRUE)</f>
        <v>1</v>
      </c>
      <c r="I703" s="10"/>
      <c r="J703" s="11" t="s">
        <v>2538</v>
      </c>
      <c r="K703" s="10" t="str">
        <f t="shared" si="77"/>
        <v>4.I.79</v>
      </c>
      <c r="L703" s="10" t="str">
        <f t="shared" si="78"/>
        <v>4.I.79</v>
      </c>
      <c r="M703" s="12" t="s">
        <v>2216</v>
      </c>
      <c r="N703" t="s">
        <v>1586</v>
      </c>
      <c r="O703" t="str">
        <f t="shared" si="81"/>
        <v>4.I</v>
      </c>
    </row>
    <row r="704" spans="3:15" x14ac:dyDescent="0.25">
      <c r="C704" s="9">
        <v>840</v>
      </c>
      <c r="D704" s="16">
        <v>792</v>
      </c>
      <c r="E704" s="10" t="str">
        <f t="shared" si="79"/>
        <v>792</v>
      </c>
      <c r="F704" s="10" t="str">
        <f t="shared" si="80"/>
        <v>79</v>
      </c>
      <c r="G704" s="10">
        <f t="shared" si="82"/>
        <v>0</v>
      </c>
      <c r="H704" s="10" t="b">
        <f>IF(ISERROR(VLOOKUP(E704,cuentas_pyme!C:C,1,FALSE)),FALSE,TRUE)</f>
        <v>1</v>
      </c>
      <c r="I704" s="10"/>
      <c r="J704" s="11" t="s">
        <v>2539</v>
      </c>
      <c r="K704" s="10" t="str">
        <f t="shared" si="77"/>
        <v>4.I.79</v>
      </c>
      <c r="L704" s="10" t="str">
        <f t="shared" si="78"/>
        <v>4.I.79</v>
      </c>
      <c r="M704" s="12" t="s">
        <v>2217</v>
      </c>
      <c r="N704" t="s">
        <v>1586</v>
      </c>
      <c r="O704" t="str">
        <f t="shared" si="81"/>
        <v>4.I</v>
      </c>
    </row>
    <row r="705" spans="3:15" x14ac:dyDescent="0.25">
      <c r="C705" s="9">
        <v>841</v>
      </c>
      <c r="D705" s="16">
        <v>793</v>
      </c>
      <c r="E705" s="10" t="str">
        <f t="shared" si="79"/>
        <v>793</v>
      </c>
      <c r="F705" s="10" t="str">
        <f t="shared" si="80"/>
        <v>79</v>
      </c>
      <c r="G705" s="10">
        <f t="shared" si="82"/>
        <v>1</v>
      </c>
      <c r="H705" s="10" t="b">
        <f>IF(ISERROR(VLOOKUP(E705,cuentas_pyme!C:C,1,FALSE)),FALSE,TRUE)</f>
        <v>1</v>
      </c>
      <c r="I705" s="10"/>
      <c r="J705" s="11" t="s">
        <v>2324</v>
      </c>
      <c r="K705" s="10" t="str">
        <f t="shared" ref="K705:K741" si="83">LEFT(J705,LEN(J705)-1)</f>
        <v>4.I.79</v>
      </c>
      <c r="L705" s="10" t="str">
        <f t="shared" si="78"/>
        <v>4.I.79</v>
      </c>
      <c r="M705" s="12" t="s">
        <v>2218</v>
      </c>
      <c r="N705" t="s">
        <v>1586</v>
      </c>
      <c r="O705" t="str">
        <f t="shared" si="81"/>
        <v>4.I</v>
      </c>
    </row>
    <row r="706" spans="3:15" x14ac:dyDescent="0.25">
      <c r="C706" s="9">
        <v>842</v>
      </c>
      <c r="D706" s="16">
        <v>7930</v>
      </c>
      <c r="E706" s="10" t="str">
        <f t="shared" si="79"/>
        <v>7930</v>
      </c>
      <c r="F706" s="10" t="str">
        <f t="shared" si="80"/>
        <v>793</v>
      </c>
      <c r="G706" s="10">
        <f t="shared" si="82"/>
        <v>0</v>
      </c>
      <c r="H706" s="10" t="b">
        <f>IF(ISERROR(VLOOKUP(E706,cuentas_pyme!C:C,1,FALSE)),FALSE,TRUE)</f>
        <v>1</v>
      </c>
      <c r="I706" s="10"/>
      <c r="J706" s="11" t="s">
        <v>2540</v>
      </c>
      <c r="K706" s="10" t="str">
        <f t="shared" si="83"/>
        <v>4.I.793</v>
      </c>
      <c r="L706" s="10" t="str">
        <f t="shared" si="78"/>
        <v>4.I.793</v>
      </c>
      <c r="M706" s="12" t="s">
        <v>2219</v>
      </c>
      <c r="N706" t="s">
        <v>1586</v>
      </c>
      <c r="O706" t="str">
        <f t="shared" si="81"/>
        <v>4.I</v>
      </c>
    </row>
    <row r="707" spans="3:15" x14ac:dyDescent="0.25">
      <c r="C707" s="9">
        <v>843</v>
      </c>
      <c r="D707" s="16">
        <v>7931</v>
      </c>
      <c r="E707" s="10" t="str">
        <f t="shared" si="79"/>
        <v>7931</v>
      </c>
      <c r="F707" s="10" t="str">
        <f t="shared" si="80"/>
        <v>793</v>
      </c>
      <c r="G707" s="10">
        <f t="shared" si="82"/>
        <v>0</v>
      </c>
      <c r="H707" s="10" t="b">
        <f>IF(ISERROR(VLOOKUP(E707,cuentas_pyme!C:C,1,FALSE)),FALSE,TRUE)</f>
        <v>1</v>
      </c>
      <c r="I707" s="10"/>
      <c r="J707" s="11" t="s">
        <v>2541</v>
      </c>
      <c r="K707" s="10" t="str">
        <f t="shared" si="83"/>
        <v>4.I.793</v>
      </c>
      <c r="L707" s="10" t="str">
        <f t="shared" si="78"/>
        <v>4.I.793</v>
      </c>
      <c r="M707" s="12" t="s">
        <v>2220</v>
      </c>
      <c r="N707" t="s">
        <v>1586</v>
      </c>
      <c r="O707" t="str">
        <f t="shared" si="81"/>
        <v>4.I</v>
      </c>
    </row>
    <row r="708" spans="3:15" x14ac:dyDescent="0.25">
      <c r="C708" s="9">
        <v>844</v>
      </c>
      <c r="D708" s="16">
        <v>7932</v>
      </c>
      <c r="E708" s="10" t="str">
        <f t="shared" si="79"/>
        <v>7932</v>
      </c>
      <c r="F708" s="10" t="str">
        <f t="shared" si="80"/>
        <v>793</v>
      </c>
      <c r="G708" s="10">
        <f t="shared" si="82"/>
        <v>0</v>
      </c>
      <c r="H708" s="10" t="b">
        <f>IF(ISERROR(VLOOKUP(E708,cuentas_pyme!C:C,1,FALSE)),FALSE,TRUE)</f>
        <v>1</v>
      </c>
      <c r="I708" s="10"/>
      <c r="J708" s="11" t="s">
        <v>2542</v>
      </c>
      <c r="K708" s="10" t="str">
        <f t="shared" si="83"/>
        <v>4.I.793</v>
      </c>
      <c r="L708" s="10" t="str">
        <f t="shared" si="78"/>
        <v>4.I.793</v>
      </c>
      <c r="M708" s="12" t="s">
        <v>2221</v>
      </c>
      <c r="N708" t="s">
        <v>1586</v>
      </c>
      <c r="O708" t="str">
        <f t="shared" si="81"/>
        <v>4.I</v>
      </c>
    </row>
    <row r="709" spans="3:15" x14ac:dyDescent="0.25">
      <c r="C709" s="9">
        <v>845</v>
      </c>
      <c r="D709" s="16">
        <v>7933</v>
      </c>
      <c r="E709" s="10" t="str">
        <f t="shared" si="79"/>
        <v>7933</v>
      </c>
      <c r="F709" s="10" t="str">
        <f t="shared" si="80"/>
        <v>793</v>
      </c>
      <c r="G709" s="10">
        <f t="shared" si="82"/>
        <v>0</v>
      </c>
      <c r="H709" s="10" t="b">
        <f>IF(ISERROR(VLOOKUP(E709,cuentas_pyme!C:C,1,FALSE)),FALSE,TRUE)</f>
        <v>1</v>
      </c>
      <c r="I709" s="10"/>
      <c r="J709" s="11" t="s">
        <v>2543</v>
      </c>
      <c r="K709" s="10" t="str">
        <f t="shared" si="83"/>
        <v>4.I.793</v>
      </c>
      <c r="L709" s="10" t="str">
        <f t="shared" si="78"/>
        <v>4.I.793</v>
      </c>
      <c r="M709" s="12" t="s">
        <v>2222</v>
      </c>
      <c r="N709" t="s">
        <v>1586</v>
      </c>
      <c r="O709" t="str">
        <f t="shared" si="81"/>
        <v>4.I</v>
      </c>
    </row>
    <row r="710" spans="3:15" x14ac:dyDescent="0.25">
      <c r="C710" s="9">
        <v>846</v>
      </c>
      <c r="D710" s="16">
        <v>794</v>
      </c>
      <c r="E710" s="10" t="str">
        <f t="shared" si="79"/>
        <v>794</v>
      </c>
      <c r="F710" s="10" t="str">
        <f t="shared" si="80"/>
        <v>79</v>
      </c>
      <c r="G710" s="10">
        <f t="shared" si="82"/>
        <v>0</v>
      </c>
      <c r="H710" s="10" t="b">
        <f>IF(ISERROR(VLOOKUP(E710,cuentas_pyme!C:C,1,FALSE)),FALSE,TRUE)</f>
        <v>1</v>
      </c>
      <c r="I710" s="10"/>
      <c r="J710" s="11" t="s">
        <v>2544</v>
      </c>
      <c r="K710" s="10" t="str">
        <f t="shared" si="83"/>
        <v>4.I.79</v>
      </c>
      <c r="L710" s="10" t="str">
        <f t="shared" si="78"/>
        <v>4.I.79</v>
      </c>
      <c r="M710" s="12" t="s">
        <v>2223</v>
      </c>
      <c r="N710" t="s">
        <v>1586</v>
      </c>
      <c r="O710" t="str">
        <f t="shared" si="81"/>
        <v>4.I</v>
      </c>
    </row>
    <row r="711" spans="3:15" x14ac:dyDescent="0.25">
      <c r="C711" s="9">
        <v>847</v>
      </c>
      <c r="D711" s="16">
        <v>795</v>
      </c>
      <c r="E711" s="10" t="str">
        <f t="shared" si="79"/>
        <v>795</v>
      </c>
      <c r="F711" s="10" t="str">
        <f t="shared" si="80"/>
        <v>79</v>
      </c>
      <c r="G711" s="10">
        <f t="shared" si="82"/>
        <v>1</v>
      </c>
      <c r="H711" s="10" t="b">
        <f>IF(ISERROR(VLOOKUP(E711,cuentas_pyme!C:C,1,FALSE)),FALSE,TRUE)</f>
        <v>1</v>
      </c>
      <c r="I711" s="10"/>
      <c r="J711" s="11" t="s">
        <v>2325</v>
      </c>
      <c r="K711" s="10" t="str">
        <f t="shared" si="83"/>
        <v>4.I.79</v>
      </c>
      <c r="L711" s="10" t="str">
        <f t="shared" si="78"/>
        <v>4.I.79</v>
      </c>
      <c r="M711" s="12" t="s">
        <v>2224</v>
      </c>
      <c r="N711" t="s">
        <v>1586</v>
      </c>
      <c r="O711" t="str">
        <f t="shared" si="81"/>
        <v>4.I</v>
      </c>
    </row>
    <row r="712" spans="3:15" x14ac:dyDescent="0.25">
      <c r="C712" s="9">
        <v>849</v>
      </c>
      <c r="D712" s="16">
        <v>7951</v>
      </c>
      <c r="E712" s="10" t="str">
        <f t="shared" si="79"/>
        <v>7951</v>
      </c>
      <c r="F712" s="10" t="str">
        <f t="shared" si="80"/>
        <v>795</v>
      </c>
      <c r="G712" s="10">
        <f t="shared" si="82"/>
        <v>0</v>
      </c>
      <c r="H712" s="10" t="b">
        <f>IF(ISERROR(VLOOKUP(E712,cuentas_pyme!C:C,1,FALSE)),FALSE,TRUE)</f>
        <v>1</v>
      </c>
      <c r="I712" s="10"/>
      <c r="J712" s="11" t="s">
        <v>2545</v>
      </c>
      <c r="K712" s="10" t="str">
        <f t="shared" si="83"/>
        <v>4.I.795</v>
      </c>
      <c r="L712" s="10" t="str">
        <f t="shared" si="78"/>
        <v>4.I.795</v>
      </c>
      <c r="M712" s="12" t="s">
        <v>2225</v>
      </c>
      <c r="N712" t="s">
        <v>1586</v>
      </c>
      <c r="O712" t="str">
        <f t="shared" si="81"/>
        <v>4.I</v>
      </c>
    </row>
    <row r="713" spans="3:15" x14ac:dyDescent="0.25">
      <c r="C713" s="9">
        <v>850</v>
      </c>
      <c r="D713" s="16">
        <v>7952</v>
      </c>
      <c r="E713" s="10" t="str">
        <f t="shared" si="79"/>
        <v>7952</v>
      </c>
      <c r="F713" s="10" t="str">
        <f t="shared" si="80"/>
        <v>795</v>
      </c>
      <c r="G713" s="10">
        <f t="shared" si="82"/>
        <v>0</v>
      </c>
      <c r="H713" s="10" t="b">
        <f>IF(ISERROR(VLOOKUP(E713,cuentas_pyme!C:C,1,FALSE)),FALSE,TRUE)</f>
        <v>1</v>
      </c>
      <c r="I713" s="10"/>
      <c r="J713" s="11" t="s">
        <v>2546</v>
      </c>
      <c r="K713" s="10" t="str">
        <f t="shared" si="83"/>
        <v>4.I.795</v>
      </c>
      <c r="L713" s="10" t="str">
        <f t="shared" ref="L713:L741" si="84">VLOOKUP(K713,J:J,1,FALSE)</f>
        <v>4.I.795</v>
      </c>
      <c r="M713" s="12" t="s">
        <v>2226</v>
      </c>
      <c r="N713" t="s">
        <v>1586</v>
      </c>
      <c r="O713" t="str">
        <f t="shared" si="81"/>
        <v>4.I</v>
      </c>
    </row>
    <row r="714" spans="3:15" x14ac:dyDescent="0.25">
      <c r="C714" s="9">
        <v>851</v>
      </c>
      <c r="D714" s="16">
        <v>7954</v>
      </c>
      <c r="E714" s="10" t="str">
        <f t="shared" si="79"/>
        <v>7954</v>
      </c>
      <c r="F714" s="10" t="str">
        <f t="shared" si="80"/>
        <v>795</v>
      </c>
      <c r="G714" s="10">
        <f t="shared" si="82"/>
        <v>1</v>
      </c>
      <c r="H714" s="10" t="b">
        <f>IF(ISERROR(VLOOKUP(E714,cuentas_pyme!C:C,1,FALSE)),FALSE,TRUE)</f>
        <v>1</v>
      </c>
      <c r="I714" s="10"/>
      <c r="J714" s="11" t="s">
        <v>2326</v>
      </c>
      <c r="K714" s="10" t="str">
        <f t="shared" si="83"/>
        <v>4.I.795</v>
      </c>
      <c r="L714" s="10" t="str">
        <f t="shared" si="84"/>
        <v>4.I.795</v>
      </c>
      <c r="M714" s="12" t="s">
        <v>2227</v>
      </c>
      <c r="N714" t="s">
        <v>1586</v>
      </c>
      <c r="O714" t="str">
        <f t="shared" si="81"/>
        <v>4.I</v>
      </c>
    </row>
    <row r="715" spans="3:15" x14ac:dyDescent="0.25">
      <c r="C715" s="9">
        <v>852</v>
      </c>
      <c r="D715" s="16">
        <v>79544</v>
      </c>
      <c r="E715" s="10" t="str">
        <f t="shared" si="79"/>
        <v>79544</v>
      </c>
      <c r="F715" s="10" t="str">
        <f t="shared" si="80"/>
        <v>7954</v>
      </c>
      <c r="G715" s="10">
        <f t="shared" si="82"/>
        <v>0</v>
      </c>
      <c r="H715" s="10" t="b">
        <f>IF(ISERROR(VLOOKUP(E715,cuentas_pyme!C:C,1,FALSE)),FALSE,TRUE)</f>
        <v>1</v>
      </c>
      <c r="I715" s="10"/>
      <c r="J715" s="11" t="s">
        <v>2547</v>
      </c>
      <c r="K715" s="10" t="str">
        <f t="shared" si="83"/>
        <v>4.I.7954</v>
      </c>
      <c r="L715" s="10" t="str">
        <f t="shared" si="84"/>
        <v>4.I.7954</v>
      </c>
      <c r="M715" s="12" t="s">
        <v>2228</v>
      </c>
      <c r="N715" t="s">
        <v>1586</v>
      </c>
      <c r="O715" t="str">
        <f t="shared" si="81"/>
        <v>4.I</v>
      </c>
    </row>
    <row r="716" spans="3:15" x14ac:dyDescent="0.25">
      <c r="C716" s="9">
        <v>853</v>
      </c>
      <c r="D716" s="16">
        <v>79549</v>
      </c>
      <c r="E716" s="10" t="str">
        <f t="shared" si="79"/>
        <v>79549</v>
      </c>
      <c r="F716" s="10" t="str">
        <f t="shared" si="80"/>
        <v>7954</v>
      </c>
      <c r="G716" s="10">
        <f t="shared" si="82"/>
        <v>0</v>
      </c>
      <c r="H716" s="10" t="b">
        <f>IF(ISERROR(VLOOKUP(E716,cuentas_pyme!C:C,1,FALSE)),FALSE,TRUE)</f>
        <v>1</v>
      </c>
      <c r="I716" s="10"/>
      <c r="J716" s="11" t="s">
        <v>2548</v>
      </c>
      <c r="K716" s="10" t="str">
        <f t="shared" si="83"/>
        <v>4.I.7954</v>
      </c>
      <c r="L716" s="10" t="str">
        <f t="shared" si="84"/>
        <v>4.I.7954</v>
      </c>
      <c r="M716" s="12" t="s">
        <v>2229</v>
      </c>
      <c r="N716" t="s">
        <v>1586</v>
      </c>
      <c r="O716" t="str">
        <f t="shared" si="81"/>
        <v>4.I</v>
      </c>
    </row>
    <row r="717" spans="3:15" x14ac:dyDescent="0.25">
      <c r="C717" s="9">
        <v>854</v>
      </c>
      <c r="D717" s="16">
        <v>7955</v>
      </c>
      <c r="E717" s="10" t="str">
        <f t="shared" si="79"/>
        <v>7955</v>
      </c>
      <c r="F717" s="10" t="str">
        <f t="shared" si="80"/>
        <v>795</v>
      </c>
      <c r="G717" s="10">
        <f t="shared" si="82"/>
        <v>0</v>
      </c>
      <c r="H717" s="10" t="b">
        <f>IF(ISERROR(VLOOKUP(E717,cuentas_pyme!C:C,1,FALSE)),FALSE,TRUE)</f>
        <v>1</v>
      </c>
      <c r="I717" s="10"/>
      <c r="J717" s="11" t="s">
        <v>2549</v>
      </c>
      <c r="K717" s="10" t="str">
        <f t="shared" si="83"/>
        <v>4.I.795</v>
      </c>
      <c r="L717" s="10" t="str">
        <f t="shared" si="84"/>
        <v>4.I.795</v>
      </c>
      <c r="M717" s="12" t="s">
        <v>2230</v>
      </c>
      <c r="N717" t="s">
        <v>1586</v>
      </c>
      <c r="O717" t="str">
        <f t="shared" si="81"/>
        <v>4.I</v>
      </c>
    </row>
    <row r="718" spans="3:15" x14ac:dyDescent="0.25">
      <c r="C718" s="9">
        <v>857</v>
      </c>
      <c r="D718" s="16">
        <v>796</v>
      </c>
      <c r="E718" s="10" t="str">
        <f t="shared" si="79"/>
        <v>796</v>
      </c>
      <c r="F718" s="10" t="str">
        <f t="shared" si="80"/>
        <v>79</v>
      </c>
      <c r="G718" s="10">
        <f t="shared" si="82"/>
        <v>1</v>
      </c>
      <c r="H718" s="10" t="b">
        <f>IF(ISERROR(VLOOKUP(E718,cuentas_pyme!C:C,1,FALSE)),FALSE,TRUE)</f>
        <v>1</v>
      </c>
      <c r="I718" s="10"/>
      <c r="J718" s="11" t="s">
        <v>2327</v>
      </c>
      <c r="K718" s="10" t="str">
        <f t="shared" si="83"/>
        <v>4.I.79</v>
      </c>
      <c r="L718" s="10" t="str">
        <f t="shared" si="84"/>
        <v>4.I.79</v>
      </c>
      <c r="M718" s="12" t="s">
        <v>2231</v>
      </c>
      <c r="N718" t="s">
        <v>1586</v>
      </c>
      <c r="O718" t="str">
        <f t="shared" si="81"/>
        <v>4.I</v>
      </c>
    </row>
    <row r="719" spans="3:15" x14ac:dyDescent="0.25">
      <c r="C719" s="9">
        <v>858</v>
      </c>
      <c r="D719" s="16">
        <v>7960</v>
      </c>
      <c r="E719" s="10" t="str">
        <f t="shared" si="79"/>
        <v>7960</v>
      </c>
      <c r="F719" s="10" t="str">
        <f t="shared" si="80"/>
        <v>796</v>
      </c>
      <c r="G719" s="10">
        <f t="shared" si="82"/>
        <v>0</v>
      </c>
      <c r="H719" s="10" t="b">
        <f>IF(ISERROR(VLOOKUP(E719,cuentas_pyme!C:C,1,FALSE)),FALSE,TRUE)</f>
        <v>1</v>
      </c>
      <c r="I719" s="10"/>
      <c r="J719" s="11" t="s">
        <v>2550</v>
      </c>
      <c r="K719" s="10" t="str">
        <f t="shared" si="83"/>
        <v>4.I.796</v>
      </c>
      <c r="L719" s="10" t="str">
        <f t="shared" si="84"/>
        <v>4.I.796</v>
      </c>
      <c r="M719" s="12" t="s">
        <v>2232</v>
      </c>
      <c r="N719" t="s">
        <v>1586</v>
      </c>
      <c r="O719" t="str">
        <f t="shared" si="81"/>
        <v>4.I</v>
      </c>
    </row>
    <row r="720" spans="3:15" x14ac:dyDescent="0.25">
      <c r="C720" s="9">
        <v>859</v>
      </c>
      <c r="D720" s="16">
        <v>7961</v>
      </c>
      <c r="E720" s="10" t="str">
        <f t="shared" si="79"/>
        <v>7961</v>
      </c>
      <c r="F720" s="10" t="str">
        <f t="shared" si="80"/>
        <v>796</v>
      </c>
      <c r="G720" s="10">
        <f t="shared" si="82"/>
        <v>0</v>
      </c>
      <c r="H720" s="10" t="b">
        <f>IF(ISERROR(VLOOKUP(E720,cuentas_pyme!C:C,1,FALSE)),FALSE,TRUE)</f>
        <v>1</v>
      </c>
      <c r="I720" s="10"/>
      <c r="J720" s="11" t="s">
        <v>2551</v>
      </c>
      <c r="K720" s="10" t="str">
        <f t="shared" si="83"/>
        <v>4.I.796</v>
      </c>
      <c r="L720" s="10" t="str">
        <f t="shared" si="84"/>
        <v>4.I.796</v>
      </c>
      <c r="M720" s="12" t="s">
        <v>2233</v>
      </c>
      <c r="N720" t="s">
        <v>1586</v>
      </c>
      <c r="O720" t="str">
        <f t="shared" si="81"/>
        <v>4.I</v>
      </c>
    </row>
    <row r="721" spans="3:15" x14ac:dyDescent="0.25">
      <c r="C721" s="9">
        <v>860</v>
      </c>
      <c r="D721" s="16">
        <v>7965</v>
      </c>
      <c r="E721" s="10" t="str">
        <f t="shared" si="79"/>
        <v>7965</v>
      </c>
      <c r="F721" s="10" t="str">
        <f t="shared" si="80"/>
        <v>796</v>
      </c>
      <c r="G721" s="10">
        <f t="shared" si="82"/>
        <v>0</v>
      </c>
      <c r="H721" s="10" t="b">
        <f>IF(ISERROR(VLOOKUP(E721,cuentas_pyme!C:C,1,FALSE)),FALSE,TRUE)</f>
        <v>1</v>
      </c>
      <c r="I721" s="10"/>
      <c r="J721" s="11" t="s">
        <v>2552</v>
      </c>
      <c r="K721" s="10" t="str">
        <f t="shared" si="83"/>
        <v>4.I.796</v>
      </c>
      <c r="L721" s="10" t="str">
        <f t="shared" si="84"/>
        <v>4.I.796</v>
      </c>
      <c r="M721" s="12" t="s">
        <v>2234</v>
      </c>
      <c r="N721" t="s">
        <v>1586</v>
      </c>
      <c r="O721" t="str">
        <f t="shared" si="81"/>
        <v>4.I</v>
      </c>
    </row>
    <row r="722" spans="3:15" x14ac:dyDescent="0.25">
      <c r="C722" s="9">
        <v>861</v>
      </c>
      <c r="D722" s="16">
        <v>7966</v>
      </c>
      <c r="E722" s="10" t="str">
        <f t="shared" si="79"/>
        <v>7966</v>
      </c>
      <c r="F722" s="10" t="str">
        <f t="shared" si="80"/>
        <v>796</v>
      </c>
      <c r="G722" s="10">
        <f t="shared" si="82"/>
        <v>0</v>
      </c>
      <c r="H722" s="10" t="b">
        <f>IF(ISERROR(VLOOKUP(E722,cuentas_pyme!C:C,1,FALSE)),FALSE,TRUE)</f>
        <v>1</v>
      </c>
      <c r="I722" s="10"/>
      <c r="J722" s="11" t="s">
        <v>2553</v>
      </c>
      <c r="K722" s="10" t="str">
        <f t="shared" si="83"/>
        <v>4.I.796</v>
      </c>
      <c r="L722" s="10" t="str">
        <f t="shared" si="84"/>
        <v>4.I.796</v>
      </c>
      <c r="M722" s="12" t="s">
        <v>2235</v>
      </c>
      <c r="N722" t="s">
        <v>1586</v>
      </c>
      <c r="O722" t="str">
        <f t="shared" si="81"/>
        <v>4.I</v>
      </c>
    </row>
    <row r="723" spans="3:15" x14ac:dyDescent="0.25">
      <c r="C723" s="9">
        <v>862</v>
      </c>
      <c r="D723" s="16">
        <v>7967</v>
      </c>
      <c r="E723" s="10" t="str">
        <f t="shared" si="79"/>
        <v>7967</v>
      </c>
      <c r="F723" s="10" t="str">
        <f t="shared" si="80"/>
        <v>796</v>
      </c>
      <c r="G723" s="10">
        <f t="shared" si="82"/>
        <v>0</v>
      </c>
      <c r="H723" s="10" t="b">
        <f>IF(ISERROR(VLOOKUP(E723,cuentas_pyme!C:C,1,FALSE)),FALSE,TRUE)</f>
        <v>1</v>
      </c>
      <c r="I723" s="10"/>
      <c r="J723" s="11" t="s">
        <v>2554</v>
      </c>
      <c r="K723" s="10" t="str">
        <f t="shared" si="83"/>
        <v>4.I.796</v>
      </c>
      <c r="L723" s="10" t="str">
        <f t="shared" si="84"/>
        <v>4.I.796</v>
      </c>
      <c r="M723" s="12" t="s">
        <v>2236</v>
      </c>
      <c r="N723" t="s">
        <v>1586</v>
      </c>
      <c r="O723" t="str">
        <f t="shared" si="81"/>
        <v>4.I</v>
      </c>
    </row>
    <row r="724" spans="3:15" x14ac:dyDescent="0.25">
      <c r="C724" s="9">
        <v>863</v>
      </c>
      <c r="D724" s="16">
        <v>7968</v>
      </c>
      <c r="E724" s="10" t="str">
        <f t="shared" si="79"/>
        <v>7968</v>
      </c>
      <c r="F724" s="10" t="str">
        <f t="shared" si="80"/>
        <v>796</v>
      </c>
      <c r="G724" s="10">
        <f t="shared" si="82"/>
        <v>0</v>
      </c>
      <c r="H724" s="10" t="b">
        <f>IF(ISERROR(VLOOKUP(E724,cuentas_pyme!C:C,1,FALSE)),FALSE,TRUE)</f>
        <v>1</v>
      </c>
      <c r="I724" s="10"/>
      <c r="J724" s="11" t="s">
        <v>2555</v>
      </c>
      <c r="K724" s="10" t="str">
        <f t="shared" si="83"/>
        <v>4.I.796</v>
      </c>
      <c r="L724" s="10" t="str">
        <f>VLOOKUP(K724,J:J,1,FALSE)</f>
        <v>4.I.796</v>
      </c>
      <c r="M724" s="12" t="s">
        <v>2237</v>
      </c>
      <c r="N724" t="s">
        <v>1586</v>
      </c>
      <c r="O724" t="str">
        <f t="shared" si="81"/>
        <v>4.I</v>
      </c>
    </row>
    <row r="725" spans="3:15" x14ac:dyDescent="0.25">
      <c r="C725" s="9">
        <v>864</v>
      </c>
      <c r="D725" s="16">
        <v>797</v>
      </c>
      <c r="E725" s="10" t="str">
        <f t="shared" si="79"/>
        <v>797</v>
      </c>
      <c r="F725" s="10" t="str">
        <f t="shared" si="80"/>
        <v>79</v>
      </c>
      <c r="G725" s="10">
        <f t="shared" si="82"/>
        <v>1</v>
      </c>
      <c r="H725" s="10" t="b">
        <f>IF(ISERROR(VLOOKUP(E725,cuentas_pyme!C:C,1,FALSE)),FALSE,TRUE)</f>
        <v>1</v>
      </c>
      <c r="I725" s="10"/>
      <c r="J725" s="11" t="s">
        <v>2328</v>
      </c>
      <c r="K725" s="10" t="str">
        <f t="shared" si="83"/>
        <v>4.I.79</v>
      </c>
      <c r="L725" s="10" t="str">
        <f t="shared" si="84"/>
        <v>4.I.79</v>
      </c>
      <c r="M725" s="12" t="s">
        <v>2238</v>
      </c>
      <c r="N725" t="s">
        <v>1586</v>
      </c>
      <c r="O725" t="str">
        <f t="shared" si="81"/>
        <v>4.I</v>
      </c>
    </row>
    <row r="726" spans="3:15" x14ac:dyDescent="0.25">
      <c r="C726" s="9">
        <v>865</v>
      </c>
      <c r="D726" s="16">
        <v>7970</v>
      </c>
      <c r="E726" s="10" t="str">
        <f t="shared" si="79"/>
        <v>7970</v>
      </c>
      <c r="F726" s="10" t="str">
        <f t="shared" si="80"/>
        <v>797</v>
      </c>
      <c r="G726" s="10">
        <f t="shared" si="82"/>
        <v>0</v>
      </c>
      <c r="H726" s="10" t="b">
        <f>IF(ISERROR(VLOOKUP(E726,cuentas_pyme!C:C,1,FALSE)),FALSE,TRUE)</f>
        <v>1</v>
      </c>
      <c r="I726" s="10"/>
      <c r="J726" s="11" t="s">
        <v>2556</v>
      </c>
      <c r="K726" s="10" t="str">
        <f t="shared" si="83"/>
        <v>4.I.797</v>
      </c>
      <c r="L726" s="10" t="str">
        <f t="shared" si="84"/>
        <v>4.I.797</v>
      </c>
      <c r="M726" s="12" t="s">
        <v>2239</v>
      </c>
      <c r="N726" t="s">
        <v>1586</v>
      </c>
      <c r="O726" t="str">
        <f t="shared" si="81"/>
        <v>4.I</v>
      </c>
    </row>
    <row r="727" spans="3:15" x14ac:dyDescent="0.25">
      <c r="C727" s="9">
        <v>866</v>
      </c>
      <c r="D727" s="16">
        <v>7971</v>
      </c>
      <c r="E727" s="10" t="str">
        <f t="shared" si="79"/>
        <v>7971</v>
      </c>
      <c r="F727" s="10" t="str">
        <f t="shared" si="80"/>
        <v>797</v>
      </c>
      <c r="G727" s="10">
        <f t="shared" si="82"/>
        <v>0</v>
      </c>
      <c r="H727" s="10" t="b">
        <f>IF(ISERROR(VLOOKUP(E727,cuentas_pyme!C:C,1,FALSE)),FALSE,TRUE)</f>
        <v>1</v>
      </c>
      <c r="I727" s="10"/>
      <c r="J727" s="11" t="s">
        <v>2557</v>
      </c>
      <c r="K727" s="10" t="str">
        <f t="shared" si="83"/>
        <v>4.I.797</v>
      </c>
      <c r="L727" s="10" t="str">
        <f t="shared" si="84"/>
        <v>4.I.797</v>
      </c>
      <c r="M727" s="12" t="s">
        <v>2240</v>
      </c>
      <c r="N727" t="s">
        <v>1586</v>
      </c>
      <c r="O727" t="str">
        <f t="shared" si="81"/>
        <v>4.I</v>
      </c>
    </row>
    <row r="728" spans="3:15" x14ac:dyDescent="0.25">
      <c r="C728" s="9">
        <v>867</v>
      </c>
      <c r="D728" s="16">
        <v>7972</v>
      </c>
      <c r="E728" s="10" t="str">
        <f t="shared" si="79"/>
        <v>7972</v>
      </c>
      <c r="F728" s="10" t="str">
        <f t="shared" si="80"/>
        <v>797</v>
      </c>
      <c r="G728" s="10">
        <f t="shared" si="82"/>
        <v>0</v>
      </c>
      <c r="H728" s="10" t="b">
        <f>IF(ISERROR(VLOOKUP(E728,cuentas_pyme!C:C,1,FALSE)),FALSE,TRUE)</f>
        <v>1</v>
      </c>
      <c r="I728" s="10"/>
      <c r="J728" s="11" t="s">
        <v>2558</v>
      </c>
      <c r="K728" s="10" t="str">
        <f t="shared" si="83"/>
        <v>4.I.797</v>
      </c>
      <c r="L728" s="10" t="str">
        <f t="shared" si="84"/>
        <v>4.I.797</v>
      </c>
      <c r="M728" s="12" t="s">
        <v>2241</v>
      </c>
      <c r="N728" t="s">
        <v>1586</v>
      </c>
      <c r="O728" t="str">
        <f t="shared" si="81"/>
        <v>4.I</v>
      </c>
    </row>
    <row r="729" spans="3:15" x14ac:dyDescent="0.25">
      <c r="C729" s="9">
        <v>868</v>
      </c>
      <c r="D729" s="16">
        <v>7973</v>
      </c>
      <c r="E729" s="10" t="str">
        <f t="shared" si="79"/>
        <v>7973</v>
      </c>
      <c r="F729" s="10" t="str">
        <f t="shared" si="80"/>
        <v>797</v>
      </c>
      <c r="G729" s="10">
        <f t="shared" si="82"/>
        <v>0</v>
      </c>
      <c r="H729" s="10" t="b">
        <f>IF(ISERROR(VLOOKUP(E729,cuentas_pyme!C:C,1,FALSE)),FALSE,TRUE)</f>
        <v>1</v>
      </c>
      <c r="I729" s="10"/>
      <c r="J729" s="11" t="s">
        <v>2559</v>
      </c>
      <c r="K729" s="10" t="str">
        <f t="shared" si="83"/>
        <v>4.I.797</v>
      </c>
      <c r="L729" s="10" t="str">
        <f t="shared" si="84"/>
        <v>4.I.797</v>
      </c>
      <c r="M729" s="12" t="s">
        <v>2242</v>
      </c>
      <c r="N729" t="s">
        <v>1586</v>
      </c>
      <c r="O729" t="str">
        <f t="shared" si="81"/>
        <v>4.I</v>
      </c>
    </row>
    <row r="730" spans="3:15" x14ac:dyDescent="0.25">
      <c r="C730" s="9">
        <v>869</v>
      </c>
      <c r="D730" s="16">
        <v>798</v>
      </c>
      <c r="E730" s="10" t="str">
        <f t="shared" si="79"/>
        <v>798</v>
      </c>
      <c r="F730" s="10" t="str">
        <f t="shared" si="80"/>
        <v>79</v>
      </c>
      <c r="G730" s="10">
        <f t="shared" si="82"/>
        <v>1</v>
      </c>
      <c r="H730" s="10" t="b">
        <f>IF(ISERROR(VLOOKUP(E730,cuentas_pyme!C:C,1,FALSE)),FALSE,TRUE)</f>
        <v>1</v>
      </c>
      <c r="I730" s="10"/>
      <c r="J730" s="11" t="s">
        <v>2329</v>
      </c>
      <c r="K730" s="10" t="str">
        <f t="shared" si="83"/>
        <v>4.I.79</v>
      </c>
      <c r="L730" s="10" t="str">
        <f t="shared" si="84"/>
        <v>4.I.79</v>
      </c>
      <c r="M730" s="12" t="s">
        <v>2243</v>
      </c>
      <c r="N730" t="s">
        <v>1586</v>
      </c>
      <c r="O730" t="str">
        <f t="shared" si="81"/>
        <v>4.I</v>
      </c>
    </row>
    <row r="731" spans="3:15" x14ac:dyDescent="0.25">
      <c r="C731" s="9">
        <v>870</v>
      </c>
      <c r="D731" s="16">
        <v>7980</v>
      </c>
      <c r="E731" s="10" t="str">
        <f t="shared" si="79"/>
        <v>7980</v>
      </c>
      <c r="F731" s="10" t="str">
        <f t="shared" si="80"/>
        <v>798</v>
      </c>
      <c r="G731" s="10">
        <f t="shared" si="82"/>
        <v>0</v>
      </c>
      <c r="H731" s="10" t="b">
        <f>IF(ISERROR(VLOOKUP(E731,cuentas_pyme!C:C,1,FALSE)),FALSE,TRUE)</f>
        <v>1</v>
      </c>
      <c r="I731" s="10"/>
      <c r="J731" s="11" t="s">
        <v>2560</v>
      </c>
      <c r="K731" s="10" t="str">
        <f t="shared" si="83"/>
        <v>4.I.798</v>
      </c>
      <c r="L731" s="10" t="str">
        <f t="shared" si="84"/>
        <v>4.I.798</v>
      </c>
      <c r="M731" s="12" t="s">
        <v>2244</v>
      </c>
      <c r="N731" t="s">
        <v>1586</v>
      </c>
      <c r="O731" t="str">
        <f t="shared" si="81"/>
        <v>4.I</v>
      </c>
    </row>
    <row r="732" spans="3:15" x14ac:dyDescent="0.25">
      <c r="C732" s="9">
        <v>871</v>
      </c>
      <c r="D732" s="16">
        <v>7981</v>
      </c>
      <c r="E732" s="10" t="str">
        <f t="shared" si="79"/>
        <v>7981</v>
      </c>
      <c r="F732" s="10" t="str">
        <f t="shared" si="80"/>
        <v>798</v>
      </c>
      <c r="G732" s="10">
        <f t="shared" si="82"/>
        <v>0</v>
      </c>
      <c r="H732" s="10" t="b">
        <f>IF(ISERROR(VLOOKUP(E732,cuentas_pyme!C:C,1,FALSE)),FALSE,TRUE)</f>
        <v>1</v>
      </c>
      <c r="I732" s="10"/>
      <c r="J732" s="11" t="s">
        <v>2561</v>
      </c>
      <c r="K732" s="10" t="str">
        <f t="shared" si="83"/>
        <v>4.I.798</v>
      </c>
      <c r="L732" s="10" t="str">
        <f t="shared" si="84"/>
        <v>4.I.798</v>
      </c>
      <c r="M732" s="12" t="s">
        <v>2245</v>
      </c>
      <c r="N732" t="s">
        <v>1586</v>
      </c>
      <c r="O732" t="str">
        <f t="shared" si="81"/>
        <v>4.I</v>
      </c>
    </row>
    <row r="733" spans="3:15" x14ac:dyDescent="0.25">
      <c r="C733" s="9">
        <v>872</v>
      </c>
      <c r="D733" s="16">
        <v>7985</v>
      </c>
      <c r="E733" s="10" t="str">
        <f t="shared" si="79"/>
        <v>7985</v>
      </c>
      <c r="F733" s="10" t="str">
        <f t="shared" si="80"/>
        <v>798</v>
      </c>
      <c r="G733" s="10">
        <f t="shared" si="82"/>
        <v>0</v>
      </c>
      <c r="H733" s="10" t="b">
        <f>IF(ISERROR(VLOOKUP(E733,cuentas_pyme!C:C,1,FALSE)),FALSE,TRUE)</f>
        <v>1</v>
      </c>
      <c r="I733" s="10"/>
      <c r="J733" s="11" t="s">
        <v>2562</v>
      </c>
      <c r="K733" s="10" t="str">
        <f t="shared" si="83"/>
        <v>4.I.798</v>
      </c>
      <c r="L733" s="10" t="str">
        <f t="shared" si="84"/>
        <v>4.I.798</v>
      </c>
      <c r="M733" s="12" t="s">
        <v>2246</v>
      </c>
      <c r="N733" t="s">
        <v>1586</v>
      </c>
      <c r="O733" t="str">
        <f t="shared" si="81"/>
        <v>4.I</v>
      </c>
    </row>
    <row r="734" spans="3:15" x14ac:dyDescent="0.25">
      <c r="C734" s="9">
        <v>873</v>
      </c>
      <c r="D734" s="16">
        <v>7986</v>
      </c>
      <c r="E734" s="10" t="str">
        <f t="shared" si="79"/>
        <v>7986</v>
      </c>
      <c r="F734" s="10" t="str">
        <f t="shared" si="80"/>
        <v>798</v>
      </c>
      <c r="G734" s="10">
        <f t="shared" si="82"/>
        <v>0</v>
      </c>
      <c r="H734" s="10" t="b">
        <f>IF(ISERROR(VLOOKUP(E734,cuentas_pyme!C:C,1,FALSE)),FALSE,TRUE)</f>
        <v>1</v>
      </c>
      <c r="I734" s="10"/>
      <c r="J734" s="11" t="s">
        <v>2563</v>
      </c>
      <c r="K734" s="10" t="str">
        <f t="shared" si="83"/>
        <v>4.I.798</v>
      </c>
      <c r="L734" s="10" t="str">
        <f t="shared" si="84"/>
        <v>4.I.798</v>
      </c>
      <c r="M734" s="12" t="s">
        <v>2247</v>
      </c>
      <c r="N734" t="s">
        <v>1586</v>
      </c>
      <c r="O734" t="str">
        <f t="shared" si="81"/>
        <v>4.I</v>
      </c>
    </row>
    <row r="735" spans="3:15" x14ac:dyDescent="0.25">
      <c r="C735" s="9">
        <v>874</v>
      </c>
      <c r="D735" s="16">
        <v>7987</v>
      </c>
      <c r="E735" s="10" t="str">
        <f t="shared" si="79"/>
        <v>7987</v>
      </c>
      <c r="F735" s="10" t="str">
        <f t="shared" si="80"/>
        <v>798</v>
      </c>
      <c r="G735" s="10">
        <f t="shared" si="82"/>
        <v>0</v>
      </c>
      <c r="H735" s="10" t="b">
        <f>IF(ISERROR(VLOOKUP(E735,cuentas_pyme!C:C,1,FALSE)),FALSE,TRUE)</f>
        <v>1</v>
      </c>
      <c r="I735" s="10"/>
      <c r="J735" s="11" t="s">
        <v>2564</v>
      </c>
      <c r="K735" s="10" t="str">
        <f t="shared" si="83"/>
        <v>4.I.798</v>
      </c>
      <c r="L735" s="10" t="str">
        <f t="shared" si="84"/>
        <v>4.I.798</v>
      </c>
      <c r="M735" s="12" t="s">
        <v>2248</v>
      </c>
      <c r="N735" t="s">
        <v>1586</v>
      </c>
      <c r="O735" t="str">
        <f t="shared" si="81"/>
        <v>4.I</v>
      </c>
    </row>
    <row r="736" spans="3:15" x14ac:dyDescent="0.25">
      <c r="C736" s="9">
        <v>875</v>
      </c>
      <c r="D736" s="16">
        <v>7988</v>
      </c>
      <c r="E736" s="10" t="str">
        <f t="shared" si="79"/>
        <v>7988</v>
      </c>
      <c r="F736" s="10" t="str">
        <f t="shared" si="80"/>
        <v>798</v>
      </c>
      <c r="G736" s="10">
        <f t="shared" si="82"/>
        <v>0</v>
      </c>
      <c r="H736" s="10" t="b">
        <f>IF(ISERROR(VLOOKUP(E736,cuentas_pyme!C:C,1,FALSE)),FALSE,TRUE)</f>
        <v>1</v>
      </c>
      <c r="I736" s="10"/>
      <c r="J736" s="11" t="s">
        <v>2565</v>
      </c>
      <c r="K736" s="10" t="str">
        <f t="shared" si="83"/>
        <v>4.I.798</v>
      </c>
      <c r="L736" s="10" t="str">
        <f t="shared" si="84"/>
        <v>4.I.798</v>
      </c>
      <c r="M736" s="12" t="s">
        <v>2249</v>
      </c>
      <c r="N736" t="s">
        <v>1586</v>
      </c>
      <c r="O736" t="str">
        <f t="shared" si="81"/>
        <v>4.I</v>
      </c>
    </row>
    <row r="737" spans="3:15" x14ac:dyDescent="0.25">
      <c r="C737" s="9">
        <v>876</v>
      </c>
      <c r="D737" s="16">
        <v>799</v>
      </c>
      <c r="E737" s="10" t="str">
        <f t="shared" ref="E737:E741" si="85">TEXT(D737,0)</f>
        <v>799</v>
      </c>
      <c r="F737" s="10" t="str">
        <f t="shared" si="80"/>
        <v>79</v>
      </c>
      <c r="G737" s="10">
        <f t="shared" si="82"/>
        <v>1</v>
      </c>
      <c r="H737" s="10" t="b">
        <f>IF(ISERROR(VLOOKUP(E737,cuentas_pyme!C:C,1,FALSE)),FALSE,TRUE)</f>
        <v>1</v>
      </c>
      <c r="I737" s="10"/>
      <c r="J737" s="11" t="s">
        <v>2330</v>
      </c>
      <c r="K737" s="10" t="str">
        <f t="shared" si="83"/>
        <v>4.I.79</v>
      </c>
      <c r="L737" s="10" t="str">
        <f t="shared" si="84"/>
        <v>4.I.79</v>
      </c>
      <c r="M737" s="12" t="s">
        <v>2250</v>
      </c>
      <c r="N737" t="s">
        <v>1586</v>
      </c>
      <c r="O737" t="str">
        <f t="shared" si="81"/>
        <v>4.I</v>
      </c>
    </row>
    <row r="738" spans="3:15" x14ac:dyDescent="0.25">
      <c r="C738" s="9">
        <v>877</v>
      </c>
      <c r="D738" s="16">
        <v>7990</v>
      </c>
      <c r="E738" s="10" t="str">
        <f t="shared" si="85"/>
        <v>7990</v>
      </c>
      <c r="F738" s="10" t="str">
        <f t="shared" si="80"/>
        <v>799</v>
      </c>
      <c r="G738" s="10">
        <f t="shared" si="82"/>
        <v>0</v>
      </c>
      <c r="H738" s="10" t="b">
        <f>IF(ISERROR(VLOOKUP(E738,cuentas_pyme!C:C,1,FALSE)),FALSE,TRUE)</f>
        <v>1</v>
      </c>
      <c r="I738" s="10"/>
      <c r="J738" s="11" t="s">
        <v>2566</v>
      </c>
      <c r="K738" s="10" t="str">
        <f t="shared" si="83"/>
        <v>4.I.799</v>
      </c>
      <c r="L738" s="10" t="str">
        <f t="shared" si="84"/>
        <v>4.I.799</v>
      </c>
      <c r="M738" s="12" t="s">
        <v>2251</v>
      </c>
      <c r="N738" t="s">
        <v>1586</v>
      </c>
      <c r="O738" t="str">
        <f t="shared" ref="O738:O741" si="86">IFERROR(VLOOKUP(N738,$Q$4:$R$9,2,FALSE),"")</f>
        <v>4.I</v>
      </c>
    </row>
    <row r="739" spans="3:15" x14ac:dyDescent="0.25">
      <c r="C739" s="9">
        <v>878</v>
      </c>
      <c r="D739" s="16">
        <v>7991</v>
      </c>
      <c r="E739" s="10" t="str">
        <f t="shared" si="85"/>
        <v>7991</v>
      </c>
      <c r="F739" s="10" t="str">
        <f t="shared" si="80"/>
        <v>799</v>
      </c>
      <c r="G739" s="10">
        <f t="shared" si="82"/>
        <v>0</v>
      </c>
      <c r="H739" s="10" t="b">
        <f>IF(ISERROR(VLOOKUP(E739,cuentas_pyme!C:C,1,FALSE)),FALSE,TRUE)</f>
        <v>1</v>
      </c>
      <c r="I739" s="10"/>
      <c r="J739" s="11" t="s">
        <v>2567</v>
      </c>
      <c r="K739" s="10" t="str">
        <f t="shared" si="83"/>
        <v>4.I.799</v>
      </c>
      <c r="L739" s="10" t="str">
        <f t="shared" si="84"/>
        <v>4.I.799</v>
      </c>
      <c r="M739" s="12" t="s">
        <v>2252</v>
      </c>
      <c r="N739" t="s">
        <v>1586</v>
      </c>
      <c r="O739" t="str">
        <f t="shared" si="86"/>
        <v>4.I</v>
      </c>
    </row>
    <row r="740" spans="3:15" x14ac:dyDescent="0.25">
      <c r="C740" s="9">
        <v>879</v>
      </c>
      <c r="D740" s="16">
        <v>7992</v>
      </c>
      <c r="E740" s="10" t="str">
        <f t="shared" si="85"/>
        <v>7992</v>
      </c>
      <c r="F740" s="10" t="str">
        <f t="shared" si="80"/>
        <v>799</v>
      </c>
      <c r="G740" s="10">
        <f t="shared" si="82"/>
        <v>0</v>
      </c>
      <c r="H740" s="10" t="b">
        <f>IF(ISERROR(VLOOKUP(E740,cuentas_pyme!C:C,1,FALSE)),FALSE,TRUE)</f>
        <v>1</v>
      </c>
      <c r="I740" s="10"/>
      <c r="J740" s="11" t="s">
        <v>2568</v>
      </c>
      <c r="K740" s="10" t="str">
        <f t="shared" si="83"/>
        <v>4.I.799</v>
      </c>
      <c r="L740" s="10" t="str">
        <f t="shared" si="84"/>
        <v>4.I.799</v>
      </c>
      <c r="M740" s="12" t="s">
        <v>2253</v>
      </c>
      <c r="N740" t="s">
        <v>1586</v>
      </c>
      <c r="O740" t="str">
        <f t="shared" si="86"/>
        <v>4.I</v>
      </c>
    </row>
    <row r="741" spans="3:15" x14ac:dyDescent="0.25">
      <c r="C741" s="9">
        <v>880</v>
      </c>
      <c r="D741" s="16">
        <v>7993</v>
      </c>
      <c r="E741" s="10" t="str">
        <f t="shared" si="85"/>
        <v>7993</v>
      </c>
      <c r="F741" s="10" t="str">
        <f t="shared" si="80"/>
        <v>799</v>
      </c>
      <c r="G741" s="10">
        <f t="shared" si="82"/>
        <v>0</v>
      </c>
      <c r="H741" s="10" t="b">
        <f>IF(ISERROR(VLOOKUP(E741,cuentas_pyme!C:C,1,FALSE)),FALSE,TRUE)</f>
        <v>1</v>
      </c>
      <c r="I741" s="10"/>
      <c r="J741" s="11" t="s">
        <v>2569</v>
      </c>
      <c r="K741" s="10" t="str">
        <f t="shared" si="83"/>
        <v>4.I.799</v>
      </c>
      <c r="L741" s="10" t="str">
        <f t="shared" si="84"/>
        <v>4.I.799</v>
      </c>
      <c r="M741" s="12" t="s">
        <v>2254</v>
      </c>
      <c r="N741" t="s">
        <v>1586</v>
      </c>
      <c r="O741" t="str">
        <f t="shared" si="86"/>
        <v>4.I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71511-ABEC-4576-8095-5D1BEC9C7F80}">
  <dimension ref="B2:N243"/>
  <sheetViews>
    <sheetView zoomScale="85" zoomScaleNormal="85" workbookViewId="0">
      <selection activeCell="N13" sqref="N13"/>
    </sheetView>
  </sheetViews>
  <sheetFormatPr defaultRowHeight="15.75" x14ac:dyDescent="0.25"/>
  <cols>
    <col min="2" max="4" width="11.375" customWidth="1"/>
    <col min="5" max="5" width="21" customWidth="1"/>
    <col min="6" max="6" width="59.125" customWidth="1"/>
    <col min="7" max="9" width="12.75" customWidth="1"/>
    <col min="13" max="13" width="18.375" customWidth="1"/>
    <col min="14" max="14" width="51.625" bestFit="1" customWidth="1"/>
    <col min="15" max="15" width="39.375" bestFit="1" customWidth="1"/>
    <col min="16" max="16" width="41.5" bestFit="1" customWidth="1"/>
    <col min="17" max="17" width="36.125" bestFit="1" customWidth="1"/>
    <col min="18" max="18" width="25.375" bestFit="1" customWidth="1"/>
    <col min="19" max="19" width="16.75" bestFit="1" customWidth="1"/>
    <col min="20" max="20" width="15.75" bestFit="1" customWidth="1"/>
    <col min="21" max="21" width="39.75" bestFit="1" customWidth="1"/>
    <col min="22" max="22" width="18.625" bestFit="1" customWidth="1"/>
    <col min="23" max="23" width="18.5" bestFit="1" customWidth="1"/>
    <col min="24" max="24" width="49.375" bestFit="1" customWidth="1"/>
    <col min="25" max="25" width="28.5" bestFit="1" customWidth="1"/>
    <col min="26" max="26" width="40.625" bestFit="1" customWidth="1"/>
    <col min="27" max="27" width="17" bestFit="1" customWidth="1"/>
    <col min="28" max="28" width="38.25" bestFit="1" customWidth="1"/>
    <col min="29" max="29" width="10" bestFit="1" customWidth="1"/>
    <col min="30" max="30" width="13.25" bestFit="1" customWidth="1"/>
    <col min="31" max="31" width="20.375" bestFit="1" customWidth="1"/>
    <col min="32" max="32" width="19.25" bestFit="1" customWidth="1"/>
    <col min="33" max="33" width="51.625" bestFit="1" customWidth="1"/>
    <col min="34" max="34" width="51.5" bestFit="1" customWidth="1"/>
    <col min="35" max="35" width="31.625" bestFit="1" customWidth="1"/>
    <col min="36" max="36" width="31.5" bestFit="1" customWidth="1"/>
    <col min="37" max="37" width="21.5" bestFit="1" customWidth="1"/>
    <col min="38" max="38" width="25" bestFit="1" customWidth="1"/>
    <col min="39" max="39" width="23.5" bestFit="1" customWidth="1"/>
    <col min="40" max="40" width="23.375" bestFit="1" customWidth="1"/>
    <col min="41" max="41" width="15.375" bestFit="1" customWidth="1"/>
    <col min="42" max="42" width="13.75" bestFit="1" customWidth="1"/>
    <col min="43" max="43" width="25.375" bestFit="1" customWidth="1"/>
    <col min="44" max="44" width="26.625" bestFit="1" customWidth="1"/>
    <col min="45" max="45" width="26.5" bestFit="1" customWidth="1"/>
    <col min="46" max="46" width="15.25" bestFit="1" customWidth="1"/>
    <col min="47" max="47" width="11.25" bestFit="1" customWidth="1"/>
    <col min="48" max="48" width="21.625" bestFit="1" customWidth="1"/>
    <col min="49" max="49" width="21.5" bestFit="1" customWidth="1"/>
    <col min="50" max="50" width="8.375" bestFit="1" customWidth="1"/>
    <col min="51" max="51" width="29.375" bestFit="1" customWidth="1"/>
    <col min="52" max="52" width="19.875" bestFit="1" customWidth="1"/>
    <col min="53" max="53" width="39.25" bestFit="1" customWidth="1"/>
    <col min="54" max="54" width="10.875" bestFit="1" customWidth="1"/>
  </cols>
  <sheetData>
    <row r="2" spans="2:14" x14ac:dyDescent="0.25">
      <c r="B2" s="5" t="s">
        <v>2652</v>
      </c>
      <c r="C2" s="5" t="s">
        <v>570</v>
      </c>
      <c r="D2" s="5" t="s">
        <v>2573</v>
      </c>
      <c r="E2" s="5" t="s">
        <v>2574</v>
      </c>
      <c r="F2" s="5" t="s">
        <v>2578</v>
      </c>
      <c r="G2" s="5" t="s">
        <v>2263</v>
      </c>
      <c r="H2" s="5" t="s">
        <v>2653</v>
      </c>
      <c r="I2" s="5" t="s">
        <v>2575</v>
      </c>
    </row>
    <row r="3" spans="2:14" x14ac:dyDescent="0.25">
      <c r="B3">
        <v>1</v>
      </c>
      <c r="D3" t="s">
        <v>2576</v>
      </c>
      <c r="E3" t="s">
        <v>2577</v>
      </c>
      <c r="F3" t="s">
        <v>0</v>
      </c>
      <c r="H3" t="str">
        <f t="shared" ref="H3:H9" si="0">LEFT(I3,LEN(I3)-2)</f>
        <v>1.A</v>
      </c>
      <c r="I3" t="s">
        <v>2572</v>
      </c>
    </row>
    <row r="4" spans="2:14" x14ac:dyDescent="0.25">
      <c r="B4">
        <v>2</v>
      </c>
      <c r="D4" t="s">
        <v>2576</v>
      </c>
      <c r="E4" t="s">
        <v>2585</v>
      </c>
      <c r="F4" t="s">
        <v>2662</v>
      </c>
      <c r="H4" t="str">
        <f t="shared" si="0"/>
        <v>1.A</v>
      </c>
      <c r="I4" t="s">
        <v>2271</v>
      </c>
      <c r="M4" s="6" t="s">
        <v>2575</v>
      </c>
      <c r="N4" s="6" t="s">
        <v>2578</v>
      </c>
    </row>
    <row r="5" spans="2:14" x14ac:dyDescent="0.25">
      <c r="B5">
        <v>3</v>
      </c>
      <c r="D5" t="s">
        <v>2604</v>
      </c>
      <c r="F5" t="s">
        <v>2663</v>
      </c>
      <c r="H5" t="str">
        <f t="shared" si="0"/>
        <v>3.E</v>
      </c>
      <c r="I5" t="s">
        <v>2269</v>
      </c>
      <c r="M5" t="s">
        <v>2572</v>
      </c>
      <c r="N5" t="s">
        <v>0</v>
      </c>
    </row>
    <row r="6" spans="2:14" x14ac:dyDescent="0.25">
      <c r="B6">
        <v>4</v>
      </c>
      <c r="D6" t="s">
        <v>2604</v>
      </c>
      <c r="F6" t="s">
        <v>2664</v>
      </c>
      <c r="H6" t="str">
        <f t="shared" si="0"/>
        <v>3.E</v>
      </c>
      <c r="I6" t="s">
        <v>2608</v>
      </c>
      <c r="M6" t="s">
        <v>2582</v>
      </c>
      <c r="N6" t="s">
        <v>2579</v>
      </c>
    </row>
    <row r="7" spans="2:14" x14ac:dyDescent="0.25">
      <c r="B7">
        <v>5</v>
      </c>
      <c r="D7" t="s">
        <v>2624</v>
      </c>
      <c r="E7" t="s">
        <v>2625</v>
      </c>
      <c r="F7" t="s">
        <v>2665</v>
      </c>
      <c r="H7" t="str">
        <f t="shared" si="0"/>
        <v>2.P</v>
      </c>
      <c r="I7" t="s">
        <v>2270</v>
      </c>
      <c r="M7" t="s">
        <v>2654</v>
      </c>
      <c r="N7" t="s">
        <v>2580</v>
      </c>
    </row>
    <row r="8" spans="2:14" x14ac:dyDescent="0.25">
      <c r="B8">
        <v>6</v>
      </c>
      <c r="D8" t="s">
        <v>2624</v>
      </c>
      <c r="E8" t="s">
        <v>2637</v>
      </c>
      <c r="F8" t="s">
        <v>2666</v>
      </c>
      <c r="H8" t="str">
        <f t="shared" si="0"/>
        <v>2.P</v>
      </c>
      <c r="I8" t="s">
        <v>2638</v>
      </c>
      <c r="M8" t="s">
        <v>2655</v>
      </c>
      <c r="N8" t="s">
        <v>2581</v>
      </c>
    </row>
    <row r="9" spans="2:14" x14ac:dyDescent="0.25">
      <c r="B9">
        <v>7</v>
      </c>
      <c r="C9">
        <v>20</v>
      </c>
      <c r="D9" t="s">
        <v>2576</v>
      </c>
      <c r="E9" t="s">
        <v>2577</v>
      </c>
      <c r="F9" t="s">
        <v>2579</v>
      </c>
      <c r="G9" t="str">
        <f t="shared" ref="G9:G72" si="1">VLOOKUP(H9,I:I,1,FALSE)</f>
        <v>1.A.1</v>
      </c>
      <c r="H9" t="str">
        <f t="shared" si="0"/>
        <v>1.A.1</v>
      </c>
      <c r="I9" t="s">
        <v>2582</v>
      </c>
      <c r="M9" t="s">
        <v>2656</v>
      </c>
      <c r="N9" t="s">
        <v>2583</v>
      </c>
    </row>
    <row r="10" spans="2:14" x14ac:dyDescent="0.25">
      <c r="B10">
        <v>8</v>
      </c>
      <c r="C10">
        <v>280</v>
      </c>
      <c r="D10" t="s">
        <v>2576</v>
      </c>
      <c r="E10" t="s">
        <v>2577</v>
      </c>
      <c r="F10" t="s">
        <v>2579</v>
      </c>
      <c r="G10" t="str">
        <f t="shared" si="1"/>
        <v>1.A.1</v>
      </c>
      <c r="H10" t="str">
        <f t="shared" ref="H10:H73" si="2">LEFT(I10,LEN(I10)-2)</f>
        <v>1.A.1</v>
      </c>
      <c r="I10" t="s">
        <v>2582</v>
      </c>
      <c r="M10" t="s">
        <v>2657</v>
      </c>
      <c r="N10" t="s">
        <v>2584</v>
      </c>
    </row>
    <row r="11" spans="2:14" x14ac:dyDescent="0.25">
      <c r="B11">
        <v>9</v>
      </c>
      <c r="C11">
        <v>290</v>
      </c>
      <c r="D11" t="s">
        <v>2576</v>
      </c>
      <c r="E11" t="s">
        <v>2577</v>
      </c>
      <c r="F11" t="s">
        <v>2579</v>
      </c>
      <c r="G11" t="str">
        <f t="shared" si="1"/>
        <v>1.A.1</v>
      </c>
      <c r="H11" t="str">
        <f t="shared" si="2"/>
        <v>1.A.1</v>
      </c>
      <c r="I11" t="s">
        <v>2582</v>
      </c>
      <c r="M11" t="s">
        <v>2658</v>
      </c>
      <c r="N11" t="s">
        <v>1851</v>
      </c>
    </row>
    <row r="12" spans="2:14" x14ac:dyDescent="0.25">
      <c r="B12">
        <v>10</v>
      </c>
      <c r="C12">
        <v>21</v>
      </c>
      <c r="D12" t="s">
        <v>2576</v>
      </c>
      <c r="E12" t="s">
        <v>2577</v>
      </c>
      <c r="F12" t="s">
        <v>2580</v>
      </c>
      <c r="G12" t="str">
        <f t="shared" si="1"/>
        <v>1.A.1</v>
      </c>
      <c r="H12" t="str">
        <f t="shared" si="2"/>
        <v>1.A.1</v>
      </c>
      <c r="I12" t="s">
        <v>2654</v>
      </c>
      <c r="M12" t="s">
        <v>2271</v>
      </c>
      <c r="N12" t="s">
        <v>2662</v>
      </c>
    </row>
    <row r="13" spans="2:14" x14ac:dyDescent="0.25">
      <c r="B13">
        <v>11</v>
      </c>
      <c r="C13">
        <v>281</v>
      </c>
      <c r="D13" t="s">
        <v>2576</v>
      </c>
      <c r="E13" t="s">
        <v>2577</v>
      </c>
      <c r="F13" t="s">
        <v>2580</v>
      </c>
      <c r="G13" t="str">
        <f t="shared" si="1"/>
        <v>1.A.1</v>
      </c>
      <c r="H13" t="str">
        <f t="shared" si="2"/>
        <v>1.A.1</v>
      </c>
      <c r="I13" t="s">
        <v>2654</v>
      </c>
      <c r="M13" t="s">
        <v>2587</v>
      </c>
      <c r="N13" t="s">
        <v>2586</v>
      </c>
    </row>
    <row r="14" spans="2:14" x14ac:dyDescent="0.25">
      <c r="B14">
        <v>12</v>
      </c>
      <c r="C14">
        <v>291</v>
      </c>
      <c r="D14" t="s">
        <v>2576</v>
      </c>
      <c r="E14" t="s">
        <v>2577</v>
      </c>
      <c r="F14" t="s">
        <v>2580</v>
      </c>
      <c r="G14" t="str">
        <f t="shared" si="1"/>
        <v>1.A.1</v>
      </c>
      <c r="H14" t="str">
        <f t="shared" si="2"/>
        <v>1.A.1</v>
      </c>
      <c r="I14" t="s">
        <v>2654</v>
      </c>
      <c r="M14" t="s">
        <v>2589</v>
      </c>
      <c r="N14" t="s">
        <v>2588</v>
      </c>
    </row>
    <row r="15" spans="2:14" x14ac:dyDescent="0.25">
      <c r="B15">
        <v>13</v>
      </c>
      <c r="C15">
        <v>23</v>
      </c>
      <c r="D15" t="s">
        <v>2576</v>
      </c>
      <c r="E15" t="s">
        <v>2577</v>
      </c>
      <c r="F15" t="s">
        <v>2580</v>
      </c>
      <c r="G15" t="str">
        <f t="shared" si="1"/>
        <v>1.A.1</v>
      </c>
      <c r="H15" t="str">
        <f t="shared" si="2"/>
        <v>1.A.1</v>
      </c>
      <c r="I15" t="s">
        <v>2654</v>
      </c>
      <c r="M15" t="s">
        <v>2591</v>
      </c>
      <c r="N15" t="s">
        <v>2590</v>
      </c>
    </row>
    <row r="16" spans="2:14" x14ac:dyDescent="0.25">
      <c r="B16">
        <v>14</v>
      </c>
      <c r="C16">
        <v>22</v>
      </c>
      <c r="D16" t="s">
        <v>2576</v>
      </c>
      <c r="E16" t="s">
        <v>2577</v>
      </c>
      <c r="F16" t="s">
        <v>2581</v>
      </c>
      <c r="G16" t="str">
        <f t="shared" si="1"/>
        <v>1.A.1</v>
      </c>
      <c r="H16" t="str">
        <f t="shared" si="2"/>
        <v>1.A.1</v>
      </c>
      <c r="I16" t="s">
        <v>2655</v>
      </c>
      <c r="M16" t="s">
        <v>2593</v>
      </c>
      <c r="N16" t="s">
        <v>2592</v>
      </c>
    </row>
    <row r="17" spans="2:14" x14ac:dyDescent="0.25">
      <c r="B17">
        <v>15</v>
      </c>
      <c r="C17">
        <v>282</v>
      </c>
      <c r="D17" t="s">
        <v>2576</v>
      </c>
      <c r="E17" t="s">
        <v>2577</v>
      </c>
      <c r="F17" t="s">
        <v>2581</v>
      </c>
      <c r="G17" t="str">
        <f t="shared" si="1"/>
        <v>1.A.1</v>
      </c>
      <c r="H17" t="str">
        <f t="shared" si="2"/>
        <v>1.A.1</v>
      </c>
      <c r="I17" t="s">
        <v>2655</v>
      </c>
      <c r="M17" t="s">
        <v>2595</v>
      </c>
      <c r="N17" t="s">
        <v>2594</v>
      </c>
    </row>
    <row r="18" spans="2:14" x14ac:dyDescent="0.25">
      <c r="B18">
        <v>16</v>
      </c>
      <c r="C18">
        <v>292</v>
      </c>
      <c r="D18" t="s">
        <v>2576</v>
      </c>
      <c r="E18" t="s">
        <v>2577</v>
      </c>
      <c r="F18" t="s">
        <v>2581</v>
      </c>
      <c r="G18" t="str">
        <f t="shared" si="1"/>
        <v>1.A.1</v>
      </c>
      <c r="H18" t="str">
        <f t="shared" si="2"/>
        <v>1.A.1</v>
      </c>
      <c r="I18" t="s">
        <v>2655</v>
      </c>
      <c r="M18" t="s">
        <v>2597</v>
      </c>
      <c r="N18" t="s">
        <v>2596</v>
      </c>
    </row>
    <row r="19" spans="2:14" x14ac:dyDescent="0.25">
      <c r="B19">
        <v>17</v>
      </c>
      <c r="C19">
        <v>2403</v>
      </c>
      <c r="D19" t="s">
        <v>2576</v>
      </c>
      <c r="E19" t="s">
        <v>2577</v>
      </c>
      <c r="F19" t="s">
        <v>2583</v>
      </c>
      <c r="G19" t="str">
        <f t="shared" si="1"/>
        <v>1.A.1</v>
      </c>
      <c r="H19" t="str">
        <f t="shared" si="2"/>
        <v>1.A.1</v>
      </c>
      <c r="I19" t="s">
        <v>2656</v>
      </c>
      <c r="M19" t="s">
        <v>2598</v>
      </c>
      <c r="N19" t="s">
        <v>2599</v>
      </c>
    </row>
    <row r="20" spans="2:14" x14ac:dyDescent="0.25">
      <c r="B20">
        <v>18</v>
      </c>
      <c r="C20">
        <v>2404</v>
      </c>
      <c r="D20" t="s">
        <v>2576</v>
      </c>
      <c r="E20" t="s">
        <v>2577</v>
      </c>
      <c r="F20" t="s">
        <v>2583</v>
      </c>
      <c r="G20" t="str">
        <f t="shared" si="1"/>
        <v>1.A.1</v>
      </c>
      <c r="H20" t="str">
        <f t="shared" si="2"/>
        <v>1.A.1</v>
      </c>
      <c r="I20" t="s">
        <v>2656</v>
      </c>
      <c r="M20" t="s">
        <v>2600</v>
      </c>
      <c r="N20" t="s">
        <v>2601</v>
      </c>
    </row>
    <row r="21" spans="2:14" x14ac:dyDescent="0.25">
      <c r="B21">
        <v>19</v>
      </c>
      <c r="C21">
        <v>2413</v>
      </c>
      <c r="D21" t="s">
        <v>2576</v>
      </c>
      <c r="E21" t="s">
        <v>2577</v>
      </c>
      <c r="F21" t="s">
        <v>2583</v>
      </c>
      <c r="G21" t="str">
        <f t="shared" si="1"/>
        <v>1.A.1</v>
      </c>
      <c r="H21" t="str">
        <f t="shared" si="2"/>
        <v>1.A.1</v>
      </c>
      <c r="I21" t="s">
        <v>2656</v>
      </c>
      <c r="M21" t="s">
        <v>2603</v>
      </c>
      <c r="N21" t="s">
        <v>2602</v>
      </c>
    </row>
    <row r="22" spans="2:14" x14ac:dyDescent="0.25">
      <c r="B22">
        <v>20</v>
      </c>
      <c r="C22">
        <v>2414</v>
      </c>
      <c r="D22" t="s">
        <v>2576</v>
      </c>
      <c r="E22" t="s">
        <v>2577</v>
      </c>
      <c r="F22" t="s">
        <v>2583</v>
      </c>
      <c r="G22" t="str">
        <f t="shared" si="1"/>
        <v>1.A.1</v>
      </c>
      <c r="H22" t="str">
        <f t="shared" si="2"/>
        <v>1.A.1</v>
      </c>
      <c r="I22" t="s">
        <v>2656</v>
      </c>
      <c r="M22" t="s">
        <v>2270</v>
      </c>
      <c r="N22" t="s">
        <v>2665</v>
      </c>
    </row>
    <row r="23" spans="2:14" x14ac:dyDescent="0.25">
      <c r="B23">
        <v>21</v>
      </c>
      <c r="C23">
        <v>2423</v>
      </c>
      <c r="D23" t="s">
        <v>2576</v>
      </c>
      <c r="E23" t="s">
        <v>2577</v>
      </c>
      <c r="F23" t="s">
        <v>2583</v>
      </c>
      <c r="G23" t="str">
        <f t="shared" si="1"/>
        <v>1.A.1</v>
      </c>
      <c r="H23" t="str">
        <f t="shared" si="2"/>
        <v>1.A.1</v>
      </c>
      <c r="I23" t="s">
        <v>2656</v>
      </c>
      <c r="M23" t="s">
        <v>2627</v>
      </c>
      <c r="N23" t="s">
        <v>2626</v>
      </c>
    </row>
    <row r="24" spans="2:14" x14ac:dyDescent="0.25">
      <c r="B24">
        <v>22</v>
      </c>
      <c r="C24">
        <v>2424</v>
      </c>
      <c r="D24" t="s">
        <v>2576</v>
      </c>
      <c r="E24" t="s">
        <v>2577</v>
      </c>
      <c r="F24" t="s">
        <v>2583</v>
      </c>
      <c r="G24" t="str">
        <f t="shared" si="1"/>
        <v>1.A.1</v>
      </c>
      <c r="H24" t="str">
        <f t="shared" si="2"/>
        <v>1.A.1</v>
      </c>
      <c r="I24" t="s">
        <v>2656</v>
      </c>
      <c r="M24" t="s">
        <v>2629</v>
      </c>
      <c r="N24" t="s">
        <v>1651</v>
      </c>
    </row>
    <row r="25" spans="2:14" x14ac:dyDescent="0.25">
      <c r="B25">
        <v>23</v>
      </c>
      <c r="C25">
        <v>2493</v>
      </c>
      <c r="D25" t="s">
        <v>2576</v>
      </c>
      <c r="E25" t="s">
        <v>2577</v>
      </c>
      <c r="F25" t="s">
        <v>2583</v>
      </c>
      <c r="G25" t="str">
        <f t="shared" si="1"/>
        <v>1.A.1</v>
      </c>
      <c r="H25" t="str">
        <f t="shared" si="2"/>
        <v>1.A.1</v>
      </c>
      <c r="I25" t="s">
        <v>2656</v>
      </c>
      <c r="M25" t="s">
        <v>2630</v>
      </c>
      <c r="N25" t="s">
        <v>2628</v>
      </c>
    </row>
    <row r="26" spans="2:14" x14ac:dyDescent="0.25">
      <c r="B26">
        <v>24</v>
      </c>
      <c r="C26">
        <v>2494</v>
      </c>
      <c r="D26" t="s">
        <v>2576</v>
      </c>
      <c r="E26" t="s">
        <v>2577</v>
      </c>
      <c r="F26" t="s">
        <v>2583</v>
      </c>
      <c r="G26" t="str">
        <f t="shared" si="1"/>
        <v>1.A.1</v>
      </c>
      <c r="H26" t="str">
        <f t="shared" si="2"/>
        <v>1.A.1</v>
      </c>
      <c r="I26" t="s">
        <v>2656</v>
      </c>
      <c r="M26" t="s">
        <v>2632</v>
      </c>
      <c r="N26" t="s">
        <v>2631</v>
      </c>
    </row>
    <row r="27" spans="2:14" x14ac:dyDescent="0.25">
      <c r="B27">
        <v>25</v>
      </c>
      <c r="C27">
        <v>2933</v>
      </c>
      <c r="D27" t="s">
        <v>2576</v>
      </c>
      <c r="E27" t="s">
        <v>2577</v>
      </c>
      <c r="F27" t="s">
        <v>2583</v>
      </c>
      <c r="G27" t="str">
        <f t="shared" si="1"/>
        <v>1.A.1</v>
      </c>
      <c r="H27" t="str">
        <f t="shared" si="2"/>
        <v>1.A.1</v>
      </c>
      <c r="I27" t="s">
        <v>2656</v>
      </c>
      <c r="M27" t="s">
        <v>2634</v>
      </c>
      <c r="N27" t="s">
        <v>2633</v>
      </c>
    </row>
    <row r="28" spans="2:14" x14ac:dyDescent="0.25">
      <c r="B28">
        <v>26</v>
      </c>
      <c r="C28">
        <v>2934</v>
      </c>
      <c r="D28" t="s">
        <v>2576</v>
      </c>
      <c r="E28" t="s">
        <v>2577</v>
      </c>
      <c r="F28" t="s">
        <v>2583</v>
      </c>
      <c r="G28" t="str">
        <f t="shared" si="1"/>
        <v>1.A.1</v>
      </c>
      <c r="H28" t="str">
        <f t="shared" si="2"/>
        <v>1.A.1</v>
      </c>
      <c r="I28" t="s">
        <v>2656</v>
      </c>
      <c r="M28" t="s">
        <v>2669</v>
      </c>
      <c r="N28" t="s">
        <v>2668</v>
      </c>
    </row>
    <row r="29" spans="2:14" x14ac:dyDescent="0.25">
      <c r="B29">
        <v>27</v>
      </c>
      <c r="C29">
        <v>2943</v>
      </c>
      <c r="D29" t="s">
        <v>2576</v>
      </c>
      <c r="E29" t="s">
        <v>2577</v>
      </c>
      <c r="F29" t="s">
        <v>2583</v>
      </c>
      <c r="G29" t="str">
        <f t="shared" si="1"/>
        <v>1.A.1</v>
      </c>
      <c r="H29" t="str">
        <f t="shared" si="2"/>
        <v>1.A.1</v>
      </c>
      <c r="I29" t="s">
        <v>2656</v>
      </c>
      <c r="M29" t="s">
        <v>2670</v>
      </c>
      <c r="N29" t="s">
        <v>2635</v>
      </c>
    </row>
    <row r="30" spans="2:14" x14ac:dyDescent="0.25">
      <c r="B30">
        <v>28</v>
      </c>
      <c r="C30">
        <v>2944</v>
      </c>
      <c r="D30" t="s">
        <v>2576</v>
      </c>
      <c r="E30" t="s">
        <v>2577</v>
      </c>
      <c r="F30" t="s">
        <v>2583</v>
      </c>
      <c r="G30" t="str">
        <f t="shared" si="1"/>
        <v>1.A.1</v>
      </c>
      <c r="H30" t="str">
        <f t="shared" si="2"/>
        <v>1.A.1</v>
      </c>
      <c r="I30" t="s">
        <v>2656</v>
      </c>
      <c r="M30" t="s">
        <v>2671</v>
      </c>
      <c r="N30" t="s">
        <v>2636</v>
      </c>
    </row>
    <row r="31" spans="2:14" x14ac:dyDescent="0.25">
      <c r="B31">
        <v>29</v>
      </c>
      <c r="C31">
        <v>2953</v>
      </c>
      <c r="D31" t="s">
        <v>2576</v>
      </c>
      <c r="E31" t="s">
        <v>2577</v>
      </c>
      <c r="F31" t="s">
        <v>2583</v>
      </c>
      <c r="G31" t="str">
        <f t="shared" si="1"/>
        <v>1.A.1</v>
      </c>
      <c r="H31" t="str">
        <f t="shared" si="2"/>
        <v>1.A.1</v>
      </c>
      <c r="I31" t="s">
        <v>2656</v>
      </c>
      <c r="M31" t="s">
        <v>2638</v>
      </c>
      <c r="N31" t="s">
        <v>2666</v>
      </c>
    </row>
    <row r="32" spans="2:14" x14ac:dyDescent="0.25">
      <c r="B32">
        <v>30</v>
      </c>
      <c r="C32">
        <v>2954</v>
      </c>
      <c r="D32" t="s">
        <v>2576</v>
      </c>
      <c r="E32" t="s">
        <v>2577</v>
      </c>
      <c r="F32" t="s">
        <v>2584</v>
      </c>
      <c r="G32" t="str">
        <f t="shared" si="1"/>
        <v>1.A.1</v>
      </c>
      <c r="H32" t="str">
        <f t="shared" si="2"/>
        <v>1.A.1</v>
      </c>
      <c r="I32" t="s">
        <v>2657</v>
      </c>
      <c r="M32" t="s">
        <v>2639</v>
      </c>
      <c r="N32" t="s">
        <v>1907</v>
      </c>
    </row>
    <row r="33" spans="2:14" x14ac:dyDescent="0.25">
      <c r="B33">
        <v>31</v>
      </c>
      <c r="C33">
        <v>2405</v>
      </c>
      <c r="D33" t="s">
        <v>2576</v>
      </c>
      <c r="E33" t="s">
        <v>2577</v>
      </c>
      <c r="F33" t="s">
        <v>2584</v>
      </c>
      <c r="G33" t="str">
        <f t="shared" si="1"/>
        <v>1.A.1</v>
      </c>
      <c r="H33" t="str">
        <f t="shared" si="2"/>
        <v>1.A.1</v>
      </c>
      <c r="I33" t="s">
        <v>2657</v>
      </c>
      <c r="M33" t="s">
        <v>2640</v>
      </c>
      <c r="N33" t="s">
        <v>1899</v>
      </c>
    </row>
    <row r="34" spans="2:14" x14ac:dyDescent="0.25">
      <c r="B34">
        <v>32</v>
      </c>
      <c r="C34">
        <v>2415</v>
      </c>
      <c r="D34" t="s">
        <v>2576</v>
      </c>
      <c r="E34" t="s">
        <v>2577</v>
      </c>
      <c r="F34" t="s">
        <v>2584</v>
      </c>
      <c r="G34" t="str">
        <f t="shared" si="1"/>
        <v>1.A.1</v>
      </c>
      <c r="H34" t="str">
        <f t="shared" si="2"/>
        <v>1.A.1</v>
      </c>
      <c r="I34" t="s">
        <v>2657</v>
      </c>
      <c r="M34" t="s">
        <v>2641</v>
      </c>
      <c r="N34" t="s">
        <v>2628</v>
      </c>
    </row>
    <row r="35" spans="2:14" x14ac:dyDescent="0.25">
      <c r="B35">
        <v>33</v>
      </c>
      <c r="C35">
        <v>2425</v>
      </c>
      <c r="D35" t="s">
        <v>2576</v>
      </c>
      <c r="E35" t="s">
        <v>2577</v>
      </c>
      <c r="F35" t="s">
        <v>2584</v>
      </c>
      <c r="G35" t="str">
        <f t="shared" si="1"/>
        <v>1.A.1</v>
      </c>
      <c r="H35" t="str">
        <f t="shared" si="2"/>
        <v>1.A.1</v>
      </c>
      <c r="I35" t="s">
        <v>2657</v>
      </c>
      <c r="M35" t="s">
        <v>2642</v>
      </c>
      <c r="N35" t="s">
        <v>2631</v>
      </c>
    </row>
    <row r="36" spans="2:14" x14ac:dyDescent="0.25">
      <c r="B36">
        <v>34</v>
      </c>
      <c r="C36">
        <v>2495</v>
      </c>
      <c r="D36" t="s">
        <v>2576</v>
      </c>
      <c r="E36" t="s">
        <v>2577</v>
      </c>
      <c r="F36" t="s">
        <v>2584</v>
      </c>
      <c r="G36" t="str">
        <f t="shared" si="1"/>
        <v>1.A.1</v>
      </c>
      <c r="H36" t="str">
        <f t="shared" si="2"/>
        <v>1.A.1</v>
      </c>
      <c r="I36" t="s">
        <v>2657</v>
      </c>
      <c r="M36" t="s">
        <v>2644</v>
      </c>
      <c r="N36" t="s">
        <v>2643</v>
      </c>
    </row>
    <row r="37" spans="2:14" x14ac:dyDescent="0.25">
      <c r="B37">
        <v>35</v>
      </c>
      <c r="C37">
        <v>250</v>
      </c>
      <c r="D37" t="s">
        <v>2576</v>
      </c>
      <c r="E37" t="s">
        <v>2577</v>
      </c>
      <c r="F37" t="s">
        <v>2584</v>
      </c>
      <c r="G37" t="str">
        <f t="shared" si="1"/>
        <v>1.A.1</v>
      </c>
      <c r="H37" t="str">
        <f t="shared" si="2"/>
        <v>1.A.1</v>
      </c>
      <c r="I37" t="s">
        <v>2657</v>
      </c>
      <c r="M37" t="s">
        <v>2646</v>
      </c>
      <c r="N37" t="s">
        <v>2645</v>
      </c>
    </row>
    <row r="38" spans="2:14" x14ac:dyDescent="0.25">
      <c r="B38">
        <v>36</v>
      </c>
      <c r="C38">
        <v>251</v>
      </c>
      <c r="D38" t="s">
        <v>2576</v>
      </c>
      <c r="E38" t="s">
        <v>2577</v>
      </c>
      <c r="F38" t="s">
        <v>2584</v>
      </c>
      <c r="G38" t="str">
        <f t="shared" si="1"/>
        <v>1.A.1</v>
      </c>
      <c r="H38" t="str">
        <f t="shared" si="2"/>
        <v>1.A.1</v>
      </c>
      <c r="I38" t="s">
        <v>2657</v>
      </c>
      <c r="M38" t="s">
        <v>2647</v>
      </c>
      <c r="N38" t="s">
        <v>1969</v>
      </c>
    </row>
    <row r="39" spans="2:14" x14ac:dyDescent="0.25">
      <c r="B39">
        <v>37</v>
      </c>
      <c r="C39">
        <v>252</v>
      </c>
      <c r="D39" t="s">
        <v>2576</v>
      </c>
      <c r="E39" t="s">
        <v>2577</v>
      </c>
      <c r="F39" t="s">
        <v>2584</v>
      </c>
      <c r="G39" t="str">
        <f t="shared" si="1"/>
        <v>1.A.1</v>
      </c>
      <c r="H39" t="str">
        <f t="shared" si="2"/>
        <v>1.A.1</v>
      </c>
      <c r="I39" t="s">
        <v>2657</v>
      </c>
      <c r="M39" t="s">
        <v>2648</v>
      </c>
      <c r="N39" t="s">
        <v>1790</v>
      </c>
    </row>
    <row r="40" spans="2:14" x14ac:dyDescent="0.25">
      <c r="B40">
        <v>38</v>
      </c>
      <c r="C40">
        <v>253</v>
      </c>
      <c r="D40" t="s">
        <v>2576</v>
      </c>
      <c r="E40" t="s">
        <v>2577</v>
      </c>
      <c r="F40" t="s">
        <v>2584</v>
      </c>
      <c r="G40" t="str">
        <f t="shared" si="1"/>
        <v>1.A.1</v>
      </c>
      <c r="H40" t="str">
        <f t="shared" si="2"/>
        <v>1.A.1</v>
      </c>
      <c r="I40" t="s">
        <v>2657</v>
      </c>
      <c r="M40" t="s">
        <v>2649</v>
      </c>
      <c r="N40" t="s">
        <v>2650</v>
      </c>
    </row>
    <row r="41" spans="2:14" x14ac:dyDescent="0.25">
      <c r="B41">
        <v>39</v>
      </c>
      <c r="C41">
        <v>254</v>
      </c>
      <c r="D41" t="s">
        <v>2576</v>
      </c>
      <c r="E41" t="s">
        <v>2577</v>
      </c>
      <c r="F41" t="s">
        <v>2584</v>
      </c>
      <c r="G41" t="str">
        <f t="shared" si="1"/>
        <v>1.A.1</v>
      </c>
      <c r="H41" t="str">
        <f t="shared" si="2"/>
        <v>1.A.1</v>
      </c>
      <c r="I41" t="s">
        <v>2657</v>
      </c>
      <c r="M41" t="s">
        <v>2651</v>
      </c>
      <c r="N41" t="s">
        <v>2601</v>
      </c>
    </row>
    <row r="42" spans="2:14" x14ac:dyDescent="0.25">
      <c r="B42">
        <v>40</v>
      </c>
      <c r="C42">
        <v>255</v>
      </c>
      <c r="D42" t="s">
        <v>2576</v>
      </c>
      <c r="E42" t="s">
        <v>2577</v>
      </c>
      <c r="F42" t="s">
        <v>2584</v>
      </c>
      <c r="G42" t="str">
        <f t="shared" si="1"/>
        <v>1.A.1</v>
      </c>
      <c r="H42" t="str">
        <f t="shared" si="2"/>
        <v>1.A.1</v>
      </c>
      <c r="I42" t="s">
        <v>2657</v>
      </c>
      <c r="M42" t="s">
        <v>2269</v>
      </c>
      <c r="N42" t="s">
        <v>2663</v>
      </c>
    </row>
    <row r="43" spans="2:14" x14ac:dyDescent="0.25">
      <c r="B43">
        <v>41</v>
      </c>
      <c r="C43">
        <v>258</v>
      </c>
      <c r="D43" t="s">
        <v>2576</v>
      </c>
      <c r="E43" t="s">
        <v>2577</v>
      </c>
      <c r="F43" t="s">
        <v>2584</v>
      </c>
      <c r="G43" t="str">
        <f t="shared" si="1"/>
        <v>1.A.1</v>
      </c>
      <c r="H43" t="str">
        <f t="shared" si="2"/>
        <v>1.A.1</v>
      </c>
      <c r="I43" t="s">
        <v>2657</v>
      </c>
      <c r="M43" t="s">
        <v>2609</v>
      </c>
      <c r="N43" t="s">
        <v>1611</v>
      </c>
    </row>
    <row r="44" spans="2:14" x14ac:dyDescent="0.25">
      <c r="B44">
        <v>42</v>
      </c>
      <c r="C44">
        <v>259</v>
      </c>
      <c r="D44" t="s">
        <v>2576</v>
      </c>
      <c r="E44" t="s">
        <v>2577</v>
      </c>
      <c r="F44" t="s">
        <v>2584</v>
      </c>
      <c r="G44" t="str">
        <f t="shared" si="1"/>
        <v>1.A.1</v>
      </c>
      <c r="H44" t="str">
        <f t="shared" si="2"/>
        <v>1.A.1</v>
      </c>
      <c r="I44" t="s">
        <v>2657</v>
      </c>
      <c r="M44" t="s">
        <v>2661</v>
      </c>
      <c r="N44" t="s">
        <v>2606</v>
      </c>
    </row>
    <row r="45" spans="2:14" x14ac:dyDescent="0.25">
      <c r="B45">
        <v>43</v>
      </c>
      <c r="C45">
        <v>26</v>
      </c>
      <c r="D45" t="s">
        <v>2576</v>
      </c>
      <c r="E45" t="s">
        <v>2577</v>
      </c>
      <c r="F45" t="s">
        <v>2584</v>
      </c>
      <c r="G45" t="str">
        <f t="shared" si="1"/>
        <v>1.A.1</v>
      </c>
      <c r="H45" t="str">
        <f t="shared" si="2"/>
        <v>1.A.1</v>
      </c>
      <c r="I45" t="s">
        <v>2657</v>
      </c>
      <c r="M45" t="s">
        <v>2660</v>
      </c>
      <c r="N45" t="s">
        <v>2607</v>
      </c>
    </row>
    <row r="46" spans="2:14" x14ac:dyDescent="0.25">
      <c r="B46">
        <v>44</v>
      </c>
      <c r="C46">
        <v>2935</v>
      </c>
      <c r="D46" t="s">
        <v>2576</v>
      </c>
      <c r="E46" t="s">
        <v>2577</v>
      </c>
      <c r="F46" t="s">
        <v>2584</v>
      </c>
      <c r="G46" t="str">
        <f t="shared" si="1"/>
        <v>1.A.1</v>
      </c>
      <c r="H46" t="str">
        <f t="shared" si="2"/>
        <v>1.A.1</v>
      </c>
      <c r="I46" t="s">
        <v>2657</v>
      </c>
      <c r="M46" t="s">
        <v>2610</v>
      </c>
      <c r="N46" t="s">
        <v>2611</v>
      </c>
    </row>
    <row r="47" spans="2:14" x14ac:dyDescent="0.25">
      <c r="B47">
        <v>45</v>
      </c>
      <c r="C47">
        <v>2945</v>
      </c>
      <c r="D47" t="s">
        <v>2576</v>
      </c>
      <c r="E47" t="s">
        <v>2577</v>
      </c>
      <c r="F47" t="s">
        <v>2584</v>
      </c>
      <c r="G47" t="str">
        <f t="shared" si="1"/>
        <v>1.A.1</v>
      </c>
      <c r="H47" t="str">
        <f t="shared" si="2"/>
        <v>1.A.1</v>
      </c>
      <c r="I47" t="s">
        <v>2657</v>
      </c>
      <c r="M47" t="s">
        <v>2617</v>
      </c>
      <c r="N47" t="s">
        <v>2612</v>
      </c>
    </row>
    <row r="48" spans="2:14" x14ac:dyDescent="0.25">
      <c r="B48">
        <v>46</v>
      </c>
      <c r="C48">
        <v>2955</v>
      </c>
      <c r="D48" t="s">
        <v>2576</v>
      </c>
      <c r="E48" t="s">
        <v>2577</v>
      </c>
      <c r="F48" t="s">
        <v>2584</v>
      </c>
      <c r="G48" t="str">
        <f t="shared" si="1"/>
        <v>1.A.1</v>
      </c>
      <c r="H48" t="str">
        <f t="shared" si="2"/>
        <v>1.A.1</v>
      </c>
      <c r="I48" t="s">
        <v>2657</v>
      </c>
      <c r="M48" t="s">
        <v>2618</v>
      </c>
      <c r="N48" t="s">
        <v>2613</v>
      </c>
    </row>
    <row r="49" spans="2:14" x14ac:dyDescent="0.25">
      <c r="B49">
        <v>47</v>
      </c>
      <c r="C49">
        <v>296</v>
      </c>
      <c r="D49" t="s">
        <v>2576</v>
      </c>
      <c r="E49" t="s">
        <v>2577</v>
      </c>
      <c r="F49" t="s">
        <v>2584</v>
      </c>
      <c r="G49" t="str">
        <f t="shared" si="1"/>
        <v>1.A.1</v>
      </c>
      <c r="H49" t="str">
        <f t="shared" si="2"/>
        <v>1.A.1</v>
      </c>
      <c r="I49" t="s">
        <v>2657</v>
      </c>
      <c r="M49" t="s">
        <v>2619</v>
      </c>
      <c r="N49" t="s">
        <v>2614</v>
      </c>
    </row>
    <row r="50" spans="2:14" x14ac:dyDescent="0.25">
      <c r="B50">
        <v>48</v>
      </c>
      <c r="C50">
        <v>297</v>
      </c>
      <c r="D50" t="s">
        <v>2576</v>
      </c>
      <c r="E50" t="s">
        <v>2577</v>
      </c>
      <c r="F50" t="s">
        <v>2584</v>
      </c>
      <c r="G50" t="str">
        <f t="shared" si="1"/>
        <v>1.A.1</v>
      </c>
      <c r="H50" t="str">
        <f t="shared" si="2"/>
        <v>1.A.1</v>
      </c>
      <c r="I50" t="s">
        <v>2657</v>
      </c>
      <c r="M50" t="s">
        <v>2620</v>
      </c>
      <c r="N50" t="s">
        <v>2615</v>
      </c>
    </row>
    <row r="51" spans="2:14" x14ac:dyDescent="0.25">
      <c r="B51">
        <v>49</v>
      </c>
      <c r="C51">
        <v>298</v>
      </c>
      <c r="D51" t="s">
        <v>2576</v>
      </c>
      <c r="E51" t="s">
        <v>2577</v>
      </c>
      <c r="F51" t="s">
        <v>2584</v>
      </c>
      <c r="G51" t="str">
        <f t="shared" si="1"/>
        <v>1.A.1</v>
      </c>
      <c r="H51" t="str">
        <f t="shared" si="2"/>
        <v>1.A.1</v>
      </c>
      <c r="I51" t="s">
        <v>2657</v>
      </c>
      <c r="M51" t="s">
        <v>2621</v>
      </c>
      <c r="N51" t="s">
        <v>1630</v>
      </c>
    </row>
    <row r="52" spans="2:14" x14ac:dyDescent="0.25">
      <c r="B52">
        <v>50</v>
      </c>
      <c r="C52">
        <v>474</v>
      </c>
      <c r="D52" t="s">
        <v>2576</v>
      </c>
      <c r="E52" t="s">
        <v>2577</v>
      </c>
      <c r="F52" t="s">
        <v>1851</v>
      </c>
      <c r="G52" t="str">
        <f t="shared" si="1"/>
        <v>1.A.1</v>
      </c>
      <c r="H52" t="str">
        <f t="shared" si="2"/>
        <v>1.A.1</v>
      </c>
      <c r="I52" t="s">
        <v>2658</v>
      </c>
      <c r="M52" t="s">
        <v>2622</v>
      </c>
      <c r="N52" t="s">
        <v>2616</v>
      </c>
    </row>
    <row r="53" spans="2:14" x14ac:dyDescent="0.25">
      <c r="B53">
        <v>51</v>
      </c>
      <c r="C53">
        <v>30</v>
      </c>
      <c r="D53" t="s">
        <v>2576</v>
      </c>
      <c r="E53" t="s">
        <v>2585</v>
      </c>
      <c r="F53" t="s">
        <v>2586</v>
      </c>
      <c r="G53" t="str">
        <f t="shared" si="1"/>
        <v>1.A.2</v>
      </c>
      <c r="H53" t="str">
        <f t="shared" si="2"/>
        <v>1.A.2</v>
      </c>
      <c r="I53" t="s">
        <v>2587</v>
      </c>
      <c r="M53" t="s">
        <v>2608</v>
      </c>
      <c r="N53" t="s">
        <v>2664</v>
      </c>
    </row>
    <row r="54" spans="2:14" x14ac:dyDescent="0.25">
      <c r="B54">
        <v>52</v>
      </c>
      <c r="C54">
        <v>31</v>
      </c>
      <c r="D54" t="s">
        <v>2576</v>
      </c>
      <c r="E54" t="s">
        <v>2585</v>
      </c>
      <c r="F54" t="s">
        <v>2586</v>
      </c>
      <c r="G54" t="str">
        <f t="shared" si="1"/>
        <v>1.A.2</v>
      </c>
      <c r="H54" t="str">
        <f t="shared" si="2"/>
        <v>1.A.2</v>
      </c>
      <c r="I54" t="s">
        <v>2587</v>
      </c>
      <c r="M54" t="s">
        <v>2659</v>
      </c>
    </row>
    <row r="55" spans="2:14" x14ac:dyDescent="0.25">
      <c r="B55">
        <v>53</v>
      </c>
      <c r="C55">
        <v>32</v>
      </c>
      <c r="D55" t="s">
        <v>2576</v>
      </c>
      <c r="E55" t="s">
        <v>2585</v>
      </c>
      <c r="F55" t="s">
        <v>2586</v>
      </c>
      <c r="G55" t="str">
        <f t="shared" si="1"/>
        <v>1.A.2</v>
      </c>
      <c r="H55" t="str">
        <f t="shared" si="2"/>
        <v>1.A.2</v>
      </c>
      <c r="I55" t="s">
        <v>2587</v>
      </c>
    </row>
    <row r="56" spans="2:14" x14ac:dyDescent="0.25">
      <c r="B56">
        <v>54</v>
      </c>
      <c r="C56">
        <v>33</v>
      </c>
      <c r="D56" t="s">
        <v>2576</v>
      </c>
      <c r="E56" t="s">
        <v>2585</v>
      </c>
      <c r="F56" t="s">
        <v>2586</v>
      </c>
      <c r="G56" t="str">
        <f t="shared" si="1"/>
        <v>1.A.2</v>
      </c>
      <c r="H56" t="str">
        <f t="shared" si="2"/>
        <v>1.A.2</v>
      </c>
      <c r="I56" t="s">
        <v>2587</v>
      </c>
    </row>
    <row r="57" spans="2:14" x14ac:dyDescent="0.25">
      <c r="B57">
        <v>55</v>
      </c>
      <c r="C57">
        <v>34</v>
      </c>
      <c r="D57" t="s">
        <v>2576</v>
      </c>
      <c r="E57" t="s">
        <v>2585</v>
      </c>
      <c r="F57" t="s">
        <v>2586</v>
      </c>
      <c r="G57" t="str">
        <f t="shared" si="1"/>
        <v>1.A.2</v>
      </c>
      <c r="H57" t="str">
        <f t="shared" si="2"/>
        <v>1.A.2</v>
      </c>
      <c r="I57" t="s">
        <v>2587</v>
      </c>
    </row>
    <row r="58" spans="2:14" x14ac:dyDescent="0.25">
      <c r="B58">
        <v>56</v>
      </c>
      <c r="C58">
        <v>35</v>
      </c>
      <c r="D58" t="s">
        <v>2576</v>
      </c>
      <c r="E58" t="s">
        <v>2585</v>
      </c>
      <c r="F58" t="s">
        <v>2586</v>
      </c>
      <c r="G58" t="str">
        <f t="shared" si="1"/>
        <v>1.A.2</v>
      </c>
      <c r="H58" t="str">
        <f t="shared" si="2"/>
        <v>1.A.2</v>
      </c>
      <c r="I58" t="s">
        <v>2587</v>
      </c>
    </row>
    <row r="59" spans="2:14" x14ac:dyDescent="0.25">
      <c r="B59">
        <v>57</v>
      </c>
      <c r="C59">
        <v>36</v>
      </c>
      <c r="D59" t="s">
        <v>2576</v>
      </c>
      <c r="E59" t="s">
        <v>2585</v>
      </c>
      <c r="F59" t="s">
        <v>2586</v>
      </c>
      <c r="G59" t="str">
        <f t="shared" si="1"/>
        <v>1.A.2</v>
      </c>
      <c r="H59" t="str">
        <f t="shared" si="2"/>
        <v>1.A.2</v>
      </c>
      <c r="I59" t="s">
        <v>2587</v>
      </c>
    </row>
    <row r="60" spans="2:14" x14ac:dyDescent="0.25">
      <c r="B60">
        <v>58</v>
      </c>
      <c r="C60">
        <v>39</v>
      </c>
      <c r="D60" t="s">
        <v>2576</v>
      </c>
      <c r="E60" t="s">
        <v>2585</v>
      </c>
      <c r="F60" t="s">
        <v>2586</v>
      </c>
      <c r="G60" t="str">
        <f t="shared" si="1"/>
        <v>1.A.2</v>
      </c>
      <c r="H60" t="str">
        <f t="shared" si="2"/>
        <v>1.A.2</v>
      </c>
      <c r="I60" t="s">
        <v>2587</v>
      </c>
    </row>
    <row r="61" spans="2:14" x14ac:dyDescent="0.25">
      <c r="B61">
        <v>59</v>
      </c>
      <c r="C61">
        <v>407</v>
      </c>
      <c r="D61" t="s">
        <v>2576</v>
      </c>
      <c r="E61" t="s">
        <v>2585</v>
      </c>
      <c r="F61" t="s">
        <v>2586</v>
      </c>
      <c r="G61" t="str">
        <f t="shared" si="1"/>
        <v>1.A.2</v>
      </c>
      <c r="H61" t="str">
        <f t="shared" si="2"/>
        <v>1.A.2</v>
      </c>
      <c r="I61" t="s">
        <v>2587</v>
      </c>
    </row>
    <row r="62" spans="2:14" x14ac:dyDescent="0.25">
      <c r="B62">
        <v>60</v>
      </c>
      <c r="D62" t="s">
        <v>2576</v>
      </c>
      <c r="E62" t="s">
        <v>2585</v>
      </c>
      <c r="F62" t="s">
        <v>2588</v>
      </c>
      <c r="G62" t="str">
        <f t="shared" si="1"/>
        <v>1.A.2</v>
      </c>
      <c r="H62" t="str">
        <f t="shared" si="2"/>
        <v>1.A.2</v>
      </c>
      <c r="I62" t="s">
        <v>2589</v>
      </c>
    </row>
    <row r="63" spans="2:14" x14ac:dyDescent="0.25">
      <c r="B63">
        <v>61</v>
      </c>
      <c r="C63">
        <v>430</v>
      </c>
      <c r="D63" t="s">
        <v>2576</v>
      </c>
      <c r="E63" t="s">
        <v>2585</v>
      </c>
      <c r="F63" t="s">
        <v>2590</v>
      </c>
      <c r="G63" t="str">
        <f t="shared" si="1"/>
        <v>1.A.2.2</v>
      </c>
      <c r="H63" t="str">
        <f t="shared" si="2"/>
        <v>1.A.2.2</v>
      </c>
      <c r="I63" t="s">
        <v>2591</v>
      </c>
    </row>
    <row r="64" spans="2:14" x14ac:dyDescent="0.25">
      <c r="B64">
        <v>62</v>
      </c>
      <c r="C64">
        <v>431</v>
      </c>
      <c r="D64" t="s">
        <v>2576</v>
      </c>
      <c r="E64" t="s">
        <v>2585</v>
      </c>
      <c r="F64" t="s">
        <v>2590</v>
      </c>
      <c r="G64" t="str">
        <f t="shared" si="1"/>
        <v>1.A.2.2</v>
      </c>
      <c r="H64" t="str">
        <f t="shared" si="2"/>
        <v>1.A.2.2</v>
      </c>
      <c r="I64" t="s">
        <v>2591</v>
      </c>
    </row>
    <row r="65" spans="2:9" x14ac:dyDescent="0.25">
      <c r="B65">
        <v>63</v>
      </c>
      <c r="C65">
        <v>432</v>
      </c>
      <c r="D65" t="s">
        <v>2576</v>
      </c>
      <c r="E65" t="s">
        <v>2585</v>
      </c>
      <c r="F65" t="s">
        <v>2590</v>
      </c>
      <c r="G65" t="str">
        <f t="shared" si="1"/>
        <v>1.A.2.2</v>
      </c>
      <c r="H65" t="str">
        <f t="shared" si="2"/>
        <v>1.A.2.2</v>
      </c>
      <c r="I65" t="s">
        <v>2591</v>
      </c>
    </row>
    <row r="66" spans="2:9" x14ac:dyDescent="0.25">
      <c r="B66">
        <v>64</v>
      </c>
      <c r="C66">
        <v>433</v>
      </c>
      <c r="D66" t="s">
        <v>2576</v>
      </c>
      <c r="E66" t="s">
        <v>2585</v>
      </c>
      <c r="F66" t="s">
        <v>2590</v>
      </c>
      <c r="G66" t="str">
        <f t="shared" si="1"/>
        <v>1.A.2.2</v>
      </c>
      <c r="H66" t="str">
        <f t="shared" si="2"/>
        <v>1.A.2.2</v>
      </c>
      <c r="I66" t="s">
        <v>2591</v>
      </c>
    </row>
    <row r="67" spans="2:9" x14ac:dyDescent="0.25">
      <c r="B67">
        <v>65</v>
      </c>
      <c r="C67">
        <v>434</v>
      </c>
      <c r="D67" t="s">
        <v>2576</v>
      </c>
      <c r="E67" t="s">
        <v>2585</v>
      </c>
      <c r="F67" t="s">
        <v>2590</v>
      </c>
      <c r="G67" t="str">
        <f t="shared" si="1"/>
        <v>1.A.2.2</v>
      </c>
      <c r="H67" t="str">
        <f t="shared" si="2"/>
        <v>1.A.2.2</v>
      </c>
      <c r="I67" t="s">
        <v>2591</v>
      </c>
    </row>
    <row r="68" spans="2:9" x14ac:dyDescent="0.25">
      <c r="B68">
        <v>66</v>
      </c>
      <c r="C68">
        <v>435</v>
      </c>
      <c r="D68" t="s">
        <v>2576</v>
      </c>
      <c r="E68" t="s">
        <v>2585</v>
      </c>
      <c r="F68" t="s">
        <v>2590</v>
      </c>
      <c r="G68" t="str">
        <f t="shared" si="1"/>
        <v>1.A.2.2</v>
      </c>
      <c r="H68" t="str">
        <f t="shared" si="2"/>
        <v>1.A.2.2</v>
      </c>
      <c r="I68" t="s">
        <v>2591</v>
      </c>
    </row>
    <row r="69" spans="2:9" x14ac:dyDescent="0.25">
      <c r="B69">
        <v>67</v>
      </c>
      <c r="C69">
        <v>436</v>
      </c>
      <c r="D69" t="s">
        <v>2576</v>
      </c>
      <c r="E69" t="s">
        <v>2585</v>
      </c>
      <c r="F69" t="s">
        <v>2590</v>
      </c>
      <c r="G69" t="str">
        <f t="shared" si="1"/>
        <v>1.A.2.2</v>
      </c>
      <c r="H69" t="str">
        <f t="shared" si="2"/>
        <v>1.A.2.2</v>
      </c>
      <c r="I69" t="s">
        <v>2591</v>
      </c>
    </row>
    <row r="70" spans="2:9" x14ac:dyDescent="0.25">
      <c r="B70">
        <v>68</v>
      </c>
      <c r="C70">
        <v>437</v>
      </c>
      <c r="D70" t="s">
        <v>2576</v>
      </c>
      <c r="E70" t="s">
        <v>2585</v>
      </c>
      <c r="F70" t="s">
        <v>2590</v>
      </c>
      <c r="G70" t="str">
        <f t="shared" si="1"/>
        <v>1.A.2.2</v>
      </c>
      <c r="H70" t="str">
        <f t="shared" si="2"/>
        <v>1.A.2.2</v>
      </c>
      <c r="I70" t="s">
        <v>2591</v>
      </c>
    </row>
    <row r="71" spans="2:9" x14ac:dyDescent="0.25">
      <c r="B71">
        <v>69</v>
      </c>
      <c r="C71">
        <v>490</v>
      </c>
      <c r="D71" t="s">
        <v>2576</v>
      </c>
      <c r="E71" t="s">
        <v>2585</v>
      </c>
      <c r="F71" t="s">
        <v>2590</v>
      </c>
      <c r="G71" t="str">
        <f t="shared" si="1"/>
        <v>1.A.2.2</v>
      </c>
      <c r="H71" t="str">
        <f t="shared" si="2"/>
        <v>1.A.2.2</v>
      </c>
      <c r="I71" t="s">
        <v>2591</v>
      </c>
    </row>
    <row r="72" spans="2:9" x14ac:dyDescent="0.25">
      <c r="B72">
        <v>70</v>
      </c>
      <c r="C72">
        <v>493</v>
      </c>
      <c r="D72" t="s">
        <v>2576</v>
      </c>
      <c r="E72" t="s">
        <v>2585</v>
      </c>
      <c r="F72" t="s">
        <v>2590</v>
      </c>
      <c r="G72" t="str">
        <f t="shared" si="1"/>
        <v>1.A.2.2</v>
      </c>
      <c r="H72" t="str">
        <f t="shared" si="2"/>
        <v>1.A.2.2</v>
      </c>
      <c r="I72" t="s">
        <v>2591</v>
      </c>
    </row>
    <row r="73" spans="2:9" x14ac:dyDescent="0.25">
      <c r="B73">
        <v>71</v>
      </c>
      <c r="C73">
        <v>5580</v>
      </c>
      <c r="D73" t="s">
        <v>2576</v>
      </c>
      <c r="E73" t="s">
        <v>2585</v>
      </c>
      <c r="F73" t="s">
        <v>2592</v>
      </c>
      <c r="G73" t="str">
        <f t="shared" ref="G73:G136" si="3">VLOOKUP(H73,I:I,1,FALSE)</f>
        <v>1.A.2.2</v>
      </c>
      <c r="H73" t="str">
        <f t="shared" si="2"/>
        <v>1.A.2.2</v>
      </c>
      <c r="I73" t="s">
        <v>2593</v>
      </c>
    </row>
    <row r="74" spans="2:9" x14ac:dyDescent="0.25">
      <c r="B74">
        <v>72</v>
      </c>
      <c r="C74">
        <v>44</v>
      </c>
      <c r="D74" t="s">
        <v>2576</v>
      </c>
      <c r="E74" t="s">
        <v>2585</v>
      </c>
      <c r="F74" t="s">
        <v>2594</v>
      </c>
      <c r="G74" t="str">
        <f t="shared" si="3"/>
        <v>1.A.2.2</v>
      </c>
      <c r="H74" t="str">
        <f t="shared" ref="H74:H138" si="4">LEFT(I74,LEN(I74)-2)</f>
        <v>1.A.2.2</v>
      </c>
      <c r="I74" t="s">
        <v>2595</v>
      </c>
    </row>
    <row r="75" spans="2:9" x14ac:dyDescent="0.25">
      <c r="B75">
        <v>73</v>
      </c>
      <c r="C75">
        <v>460</v>
      </c>
      <c r="D75" t="s">
        <v>2576</v>
      </c>
      <c r="E75" t="s">
        <v>2585</v>
      </c>
      <c r="F75" t="s">
        <v>2594</v>
      </c>
      <c r="G75" t="str">
        <f t="shared" si="3"/>
        <v>1.A.2.2</v>
      </c>
      <c r="H75" t="str">
        <f t="shared" si="4"/>
        <v>1.A.2.2</v>
      </c>
      <c r="I75" t="s">
        <v>2595</v>
      </c>
    </row>
    <row r="76" spans="2:9" x14ac:dyDescent="0.25">
      <c r="B76">
        <v>74</v>
      </c>
      <c r="C76">
        <v>470</v>
      </c>
      <c r="D76" t="s">
        <v>2576</v>
      </c>
      <c r="E76" t="s">
        <v>2585</v>
      </c>
      <c r="F76" t="s">
        <v>2594</v>
      </c>
      <c r="G76" t="str">
        <f t="shared" si="3"/>
        <v>1.A.2.2</v>
      </c>
      <c r="H76" t="str">
        <f t="shared" si="4"/>
        <v>1.A.2.2</v>
      </c>
      <c r="I76" t="s">
        <v>2595</v>
      </c>
    </row>
    <row r="77" spans="2:9" x14ac:dyDescent="0.25">
      <c r="B77">
        <v>75</v>
      </c>
      <c r="C77">
        <v>471</v>
      </c>
      <c r="D77" t="s">
        <v>2576</v>
      </c>
      <c r="E77" t="s">
        <v>2585</v>
      </c>
      <c r="F77" t="s">
        <v>2594</v>
      </c>
      <c r="G77" t="str">
        <f t="shared" si="3"/>
        <v>1.A.2.2</v>
      </c>
      <c r="H77" t="str">
        <f t="shared" si="4"/>
        <v>1.A.2.2</v>
      </c>
      <c r="I77" t="s">
        <v>2595</v>
      </c>
    </row>
    <row r="78" spans="2:9" x14ac:dyDescent="0.25">
      <c r="B78">
        <v>76</v>
      </c>
      <c r="C78">
        <v>472</v>
      </c>
      <c r="D78" t="s">
        <v>2576</v>
      </c>
      <c r="E78" t="s">
        <v>2585</v>
      </c>
      <c r="F78" t="s">
        <v>2594</v>
      </c>
      <c r="G78" t="str">
        <f t="shared" si="3"/>
        <v>1.A.2.2</v>
      </c>
      <c r="H78" t="str">
        <f t="shared" si="4"/>
        <v>1.A.2.2</v>
      </c>
      <c r="I78" t="s">
        <v>2595</v>
      </c>
    </row>
    <row r="79" spans="2:9" x14ac:dyDescent="0.25">
      <c r="B79">
        <v>77</v>
      </c>
      <c r="C79">
        <v>544</v>
      </c>
      <c r="D79" t="s">
        <v>2576</v>
      </c>
      <c r="E79" t="s">
        <v>2585</v>
      </c>
      <c r="F79" t="s">
        <v>2594</v>
      </c>
      <c r="G79" t="str">
        <f t="shared" si="3"/>
        <v>1.A.2.2</v>
      </c>
      <c r="H79" t="str">
        <f t="shared" si="4"/>
        <v>1.A.2.2</v>
      </c>
      <c r="I79" t="s">
        <v>2595</v>
      </c>
    </row>
    <row r="80" spans="2:9" x14ac:dyDescent="0.25">
      <c r="B80">
        <v>78</v>
      </c>
      <c r="C80">
        <v>5303</v>
      </c>
      <c r="D80" t="s">
        <v>2576</v>
      </c>
      <c r="E80" t="s">
        <v>2585</v>
      </c>
      <c r="F80" t="s">
        <v>2596</v>
      </c>
      <c r="G80" t="str">
        <f t="shared" si="3"/>
        <v>1.A.2</v>
      </c>
      <c r="H80" t="str">
        <f t="shared" si="4"/>
        <v>1.A.2</v>
      </c>
      <c r="I80" t="s">
        <v>2597</v>
      </c>
    </row>
    <row r="81" spans="2:9" x14ac:dyDescent="0.25">
      <c r="B81">
        <v>79</v>
      </c>
      <c r="C81">
        <v>5304</v>
      </c>
      <c r="D81" t="s">
        <v>2576</v>
      </c>
      <c r="E81" t="s">
        <v>2585</v>
      </c>
      <c r="F81" t="s">
        <v>2596</v>
      </c>
      <c r="G81" t="str">
        <f t="shared" si="3"/>
        <v>1.A.2</v>
      </c>
      <c r="H81" t="str">
        <f t="shared" si="4"/>
        <v>1.A.2</v>
      </c>
      <c r="I81" t="s">
        <v>2597</v>
      </c>
    </row>
    <row r="82" spans="2:9" x14ac:dyDescent="0.25">
      <c r="B82">
        <v>80</v>
      </c>
      <c r="C82">
        <v>5313</v>
      </c>
      <c r="D82" t="s">
        <v>2576</v>
      </c>
      <c r="E82" t="s">
        <v>2585</v>
      </c>
      <c r="F82" t="s">
        <v>2596</v>
      </c>
      <c r="G82" t="str">
        <f t="shared" si="3"/>
        <v>1.A.2</v>
      </c>
      <c r="H82" t="str">
        <f t="shared" si="4"/>
        <v>1.A.2</v>
      </c>
      <c r="I82" t="s">
        <v>2597</v>
      </c>
    </row>
    <row r="83" spans="2:9" x14ac:dyDescent="0.25">
      <c r="B83">
        <v>81</v>
      </c>
      <c r="C83">
        <v>5314</v>
      </c>
      <c r="D83" t="s">
        <v>2576</v>
      </c>
      <c r="E83" t="s">
        <v>2585</v>
      </c>
      <c r="F83" t="s">
        <v>2596</v>
      </c>
      <c r="G83" t="str">
        <f t="shared" si="3"/>
        <v>1.A.2</v>
      </c>
      <c r="H83" t="str">
        <f t="shared" si="4"/>
        <v>1.A.2</v>
      </c>
      <c r="I83" t="s">
        <v>2597</v>
      </c>
    </row>
    <row r="84" spans="2:9" x14ac:dyDescent="0.25">
      <c r="B84">
        <v>82</v>
      </c>
      <c r="C84">
        <v>5323</v>
      </c>
      <c r="D84" t="s">
        <v>2576</v>
      </c>
      <c r="E84" t="s">
        <v>2585</v>
      </c>
      <c r="F84" t="s">
        <v>2596</v>
      </c>
      <c r="G84" t="str">
        <f t="shared" si="3"/>
        <v>1.A.2</v>
      </c>
      <c r="H84" t="str">
        <f t="shared" si="4"/>
        <v>1.A.2</v>
      </c>
      <c r="I84" t="s">
        <v>2597</v>
      </c>
    </row>
    <row r="85" spans="2:9" x14ac:dyDescent="0.25">
      <c r="B85">
        <v>83</v>
      </c>
      <c r="C85">
        <v>5324</v>
      </c>
      <c r="D85" t="s">
        <v>2576</v>
      </c>
      <c r="E85" t="s">
        <v>2585</v>
      </c>
      <c r="F85" t="s">
        <v>2596</v>
      </c>
      <c r="G85" t="str">
        <f t="shared" si="3"/>
        <v>1.A.2</v>
      </c>
      <c r="H85" t="str">
        <f t="shared" si="4"/>
        <v>1.A.2</v>
      </c>
      <c r="I85" t="s">
        <v>2597</v>
      </c>
    </row>
    <row r="86" spans="2:9" x14ac:dyDescent="0.25">
      <c r="B86">
        <v>84</v>
      </c>
      <c r="C86">
        <v>5333</v>
      </c>
      <c r="D86" t="s">
        <v>2576</v>
      </c>
      <c r="E86" t="s">
        <v>2585</v>
      </c>
      <c r="F86" t="s">
        <v>2596</v>
      </c>
      <c r="G86" t="str">
        <f t="shared" si="3"/>
        <v>1.A.2</v>
      </c>
      <c r="H86" t="str">
        <f t="shared" si="4"/>
        <v>1.A.2</v>
      </c>
      <c r="I86" t="s">
        <v>2597</v>
      </c>
    </row>
    <row r="87" spans="2:9" x14ac:dyDescent="0.25">
      <c r="B87">
        <v>85</v>
      </c>
      <c r="C87">
        <v>5334</v>
      </c>
      <c r="D87" t="s">
        <v>2576</v>
      </c>
      <c r="E87" t="s">
        <v>2585</v>
      </c>
      <c r="F87" t="s">
        <v>2596</v>
      </c>
      <c r="G87" t="str">
        <f t="shared" si="3"/>
        <v>1.A.2</v>
      </c>
      <c r="H87" t="str">
        <f t="shared" si="4"/>
        <v>1.A.2</v>
      </c>
      <c r="I87" t="s">
        <v>2597</v>
      </c>
    </row>
    <row r="88" spans="2:9" x14ac:dyDescent="0.25">
      <c r="B88">
        <v>86</v>
      </c>
      <c r="C88">
        <v>5343</v>
      </c>
      <c r="D88" t="s">
        <v>2576</v>
      </c>
      <c r="E88" t="s">
        <v>2585</v>
      </c>
      <c r="F88" t="s">
        <v>2596</v>
      </c>
      <c r="G88" t="str">
        <f t="shared" si="3"/>
        <v>1.A.2</v>
      </c>
      <c r="H88" t="str">
        <f t="shared" si="4"/>
        <v>1.A.2</v>
      </c>
      <c r="I88" t="s">
        <v>2597</v>
      </c>
    </row>
    <row r="89" spans="2:9" x14ac:dyDescent="0.25">
      <c r="B89">
        <v>87</v>
      </c>
      <c r="C89">
        <v>5344</v>
      </c>
      <c r="D89" t="s">
        <v>2576</v>
      </c>
      <c r="E89" t="s">
        <v>2585</v>
      </c>
      <c r="F89" t="s">
        <v>2596</v>
      </c>
      <c r="G89" t="str">
        <f t="shared" si="3"/>
        <v>1.A.2</v>
      </c>
      <c r="H89" t="str">
        <f t="shared" si="4"/>
        <v>1.A.2</v>
      </c>
      <c r="I89" t="s">
        <v>2597</v>
      </c>
    </row>
    <row r="90" spans="2:9" x14ac:dyDescent="0.25">
      <c r="B90">
        <v>88</v>
      </c>
      <c r="C90">
        <v>5353</v>
      </c>
      <c r="D90" t="s">
        <v>2576</v>
      </c>
      <c r="E90" t="s">
        <v>2585</v>
      </c>
      <c r="F90" t="s">
        <v>2596</v>
      </c>
      <c r="G90" t="str">
        <f t="shared" si="3"/>
        <v>1.A.2</v>
      </c>
      <c r="H90" t="str">
        <f t="shared" si="4"/>
        <v>1.A.2</v>
      </c>
      <c r="I90" t="s">
        <v>2597</v>
      </c>
    </row>
    <row r="91" spans="2:9" x14ac:dyDescent="0.25">
      <c r="B91">
        <v>89</v>
      </c>
      <c r="C91">
        <v>5354</v>
      </c>
      <c r="D91" t="s">
        <v>2576</v>
      </c>
      <c r="E91" t="s">
        <v>2585</v>
      </c>
      <c r="F91" t="s">
        <v>2596</v>
      </c>
      <c r="G91" t="str">
        <f t="shared" si="3"/>
        <v>1.A.2</v>
      </c>
      <c r="H91" t="str">
        <f t="shared" si="4"/>
        <v>1.A.2</v>
      </c>
      <c r="I91" t="s">
        <v>2597</v>
      </c>
    </row>
    <row r="92" spans="2:9" x14ac:dyDescent="0.25">
      <c r="B92">
        <v>90</v>
      </c>
      <c r="C92">
        <v>5393</v>
      </c>
      <c r="D92" t="s">
        <v>2576</v>
      </c>
      <c r="E92" t="s">
        <v>2585</v>
      </c>
      <c r="F92" t="s">
        <v>2596</v>
      </c>
      <c r="G92" t="str">
        <f t="shared" si="3"/>
        <v>1.A.2</v>
      </c>
      <c r="H92" t="str">
        <f t="shared" si="4"/>
        <v>1.A.2</v>
      </c>
      <c r="I92" t="s">
        <v>2597</v>
      </c>
    </row>
    <row r="93" spans="2:9" x14ac:dyDescent="0.25">
      <c r="B93">
        <v>91</v>
      </c>
      <c r="C93">
        <v>5394</v>
      </c>
      <c r="D93" t="s">
        <v>2576</v>
      </c>
      <c r="E93" t="s">
        <v>2585</v>
      </c>
      <c r="F93" t="s">
        <v>2596</v>
      </c>
      <c r="G93" t="str">
        <f t="shared" si="3"/>
        <v>1.A.2</v>
      </c>
      <c r="H93" t="str">
        <f t="shared" si="4"/>
        <v>1.A.2</v>
      </c>
      <c r="I93" t="s">
        <v>2597</v>
      </c>
    </row>
    <row r="94" spans="2:9" x14ac:dyDescent="0.25">
      <c r="B94">
        <v>92</v>
      </c>
      <c r="C94">
        <v>5523</v>
      </c>
      <c r="D94" t="s">
        <v>2576</v>
      </c>
      <c r="E94" t="s">
        <v>2585</v>
      </c>
      <c r="F94" t="s">
        <v>2596</v>
      </c>
      <c r="G94" t="str">
        <f t="shared" si="3"/>
        <v>1.A.2</v>
      </c>
      <c r="H94" t="str">
        <f t="shared" si="4"/>
        <v>1.A.2</v>
      </c>
      <c r="I94" t="s">
        <v>2597</v>
      </c>
    </row>
    <row r="95" spans="2:9" x14ac:dyDescent="0.25">
      <c r="B95">
        <v>93</v>
      </c>
      <c r="C95">
        <v>5524</v>
      </c>
      <c r="D95" t="s">
        <v>2576</v>
      </c>
      <c r="E95" t="s">
        <v>2585</v>
      </c>
      <c r="F95" t="s">
        <v>2596</v>
      </c>
      <c r="G95" t="str">
        <f t="shared" si="3"/>
        <v>1.A.2</v>
      </c>
      <c r="H95" t="str">
        <f t="shared" si="4"/>
        <v>1.A.2</v>
      </c>
      <c r="I95" t="s">
        <v>2597</v>
      </c>
    </row>
    <row r="96" spans="2:9" x14ac:dyDescent="0.25">
      <c r="B96">
        <v>94</v>
      </c>
      <c r="C96">
        <v>5933</v>
      </c>
      <c r="D96" t="s">
        <v>2576</v>
      </c>
      <c r="E96" t="s">
        <v>2585</v>
      </c>
      <c r="F96" t="s">
        <v>2596</v>
      </c>
      <c r="G96" t="str">
        <f t="shared" si="3"/>
        <v>1.A.2</v>
      </c>
      <c r="H96" t="str">
        <f t="shared" si="4"/>
        <v>1.A.2</v>
      </c>
      <c r="I96" t="s">
        <v>2597</v>
      </c>
    </row>
    <row r="97" spans="2:9" x14ac:dyDescent="0.25">
      <c r="B97">
        <v>95</v>
      </c>
      <c r="C97">
        <v>5934</v>
      </c>
      <c r="D97" t="s">
        <v>2576</v>
      </c>
      <c r="E97" t="s">
        <v>2585</v>
      </c>
      <c r="F97" t="s">
        <v>2596</v>
      </c>
      <c r="G97" t="str">
        <f t="shared" si="3"/>
        <v>1.A.2</v>
      </c>
      <c r="H97" t="str">
        <f t="shared" si="4"/>
        <v>1.A.2</v>
      </c>
      <c r="I97" t="s">
        <v>2597</v>
      </c>
    </row>
    <row r="98" spans="2:9" x14ac:dyDescent="0.25">
      <c r="B98">
        <v>96</v>
      </c>
      <c r="C98">
        <v>5943</v>
      </c>
      <c r="D98" t="s">
        <v>2576</v>
      </c>
      <c r="E98" t="s">
        <v>2585</v>
      </c>
      <c r="F98" t="s">
        <v>2596</v>
      </c>
      <c r="G98" t="str">
        <f t="shared" si="3"/>
        <v>1.A.2</v>
      </c>
      <c r="H98" t="str">
        <f t="shared" si="4"/>
        <v>1.A.2</v>
      </c>
      <c r="I98" t="s">
        <v>2597</v>
      </c>
    </row>
    <row r="99" spans="2:9" x14ac:dyDescent="0.25">
      <c r="B99">
        <v>97</v>
      </c>
      <c r="C99">
        <v>5944</v>
      </c>
      <c r="D99" t="s">
        <v>2576</v>
      </c>
      <c r="E99" t="s">
        <v>2585</v>
      </c>
      <c r="F99" t="s">
        <v>2596</v>
      </c>
      <c r="G99" t="str">
        <f t="shared" si="3"/>
        <v>1.A.2</v>
      </c>
      <c r="H99" t="str">
        <f t="shared" si="4"/>
        <v>1.A.2</v>
      </c>
      <c r="I99" t="s">
        <v>2597</v>
      </c>
    </row>
    <row r="100" spans="2:9" x14ac:dyDescent="0.25">
      <c r="B100">
        <v>98</v>
      </c>
      <c r="C100">
        <v>5953</v>
      </c>
      <c r="D100" t="s">
        <v>2576</v>
      </c>
      <c r="E100" t="s">
        <v>2585</v>
      </c>
      <c r="F100" t="s">
        <v>2596</v>
      </c>
      <c r="G100" t="str">
        <f t="shared" si="3"/>
        <v>1.A.2</v>
      </c>
      <c r="H100" t="str">
        <f t="shared" si="4"/>
        <v>1.A.2</v>
      </c>
      <c r="I100" t="s">
        <v>2597</v>
      </c>
    </row>
    <row r="101" spans="2:9" x14ac:dyDescent="0.25">
      <c r="B101">
        <v>99</v>
      </c>
      <c r="C101">
        <v>5954</v>
      </c>
      <c r="D101" t="s">
        <v>2576</v>
      </c>
      <c r="E101" t="s">
        <v>2585</v>
      </c>
      <c r="F101" t="s">
        <v>2596</v>
      </c>
      <c r="G101" t="str">
        <f t="shared" si="3"/>
        <v>1.A.2</v>
      </c>
      <c r="H101" t="str">
        <f t="shared" si="4"/>
        <v>1.A.2</v>
      </c>
      <c r="I101" t="s">
        <v>2597</v>
      </c>
    </row>
    <row r="102" spans="2:9" x14ac:dyDescent="0.25">
      <c r="B102">
        <v>100</v>
      </c>
      <c r="C102">
        <v>5305</v>
      </c>
      <c r="D102" t="s">
        <v>2576</v>
      </c>
      <c r="E102" t="s">
        <v>2585</v>
      </c>
      <c r="F102" t="s">
        <v>2599</v>
      </c>
      <c r="G102" t="str">
        <f t="shared" si="3"/>
        <v>1.A.2</v>
      </c>
      <c r="H102" t="str">
        <f t="shared" si="4"/>
        <v>1.A.2</v>
      </c>
      <c r="I102" t="s">
        <v>2598</v>
      </c>
    </row>
    <row r="103" spans="2:9" x14ac:dyDescent="0.25">
      <c r="B103">
        <v>101</v>
      </c>
      <c r="C103">
        <v>5315</v>
      </c>
      <c r="D103" t="s">
        <v>2576</v>
      </c>
      <c r="E103" t="s">
        <v>2585</v>
      </c>
      <c r="F103" t="s">
        <v>2599</v>
      </c>
      <c r="G103" t="str">
        <f t="shared" si="3"/>
        <v>1.A.2</v>
      </c>
      <c r="H103" t="str">
        <f t="shared" si="4"/>
        <v>1.A.2</v>
      </c>
      <c r="I103" t="s">
        <v>2598</v>
      </c>
    </row>
    <row r="104" spans="2:9" x14ac:dyDescent="0.25">
      <c r="B104">
        <v>102</v>
      </c>
      <c r="C104">
        <v>5325</v>
      </c>
      <c r="D104" t="s">
        <v>2576</v>
      </c>
      <c r="E104" t="s">
        <v>2585</v>
      </c>
      <c r="F104" t="s">
        <v>2599</v>
      </c>
      <c r="G104" t="str">
        <f t="shared" si="3"/>
        <v>1.A.2</v>
      </c>
      <c r="H104" t="str">
        <f t="shared" si="4"/>
        <v>1.A.2</v>
      </c>
      <c r="I104" t="s">
        <v>2598</v>
      </c>
    </row>
    <row r="105" spans="2:9" x14ac:dyDescent="0.25">
      <c r="B105">
        <v>103</v>
      </c>
      <c r="C105">
        <v>5335</v>
      </c>
      <c r="D105" t="s">
        <v>2576</v>
      </c>
      <c r="E105" t="s">
        <v>2585</v>
      </c>
      <c r="F105" t="s">
        <v>2599</v>
      </c>
      <c r="G105" t="str">
        <f t="shared" si="3"/>
        <v>1.A.2</v>
      </c>
      <c r="H105" t="str">
        <f t="shared" si="4"/>
        <v>1.A.2</v>
      </c>
      <c r="I105" t="s">
        <v>2598</v>
      </c>
    </row>
    <row r="106" spans="2:9" x14ac:dyDescent="0.25">
      <c r="B106">
        <v>104</v>
      </c>
      <c r="C106">
        <v>5345</v>
      </c>
      <c r="D106" t="s">
        <v>2576</v>
      </c>
      <c r="E106" t="s">
        <v>2585</v>
      </c>
      <c r="F106" t="s">
        <v>2599</v>
      </c>
      <c r="G106" t="str">
        <f t="shared" si="3"/>
        <v>1.A.2</v>
      </c>
      <c r="H106" t="str">
        <f t="shared" si="4"/>
        <v>1.A.2</v>
      </c>
      <c r="I106" t="s">
        <v>2598</v>
      </c>
    </row>
    <row r="107" spans="2:9" x14ac:dyDescent="0.25">
      <c r="B107">
        <v>105</v>
      </c>
      <c r="C107">
        <v>5355</v>
      </c>
      <c r="D107" t="s">
        <v>2576</v>
      </c>
      <c r="E107" t="s">
        <v>2585</v>
      </c>
      <c r="F107" t="s">
        <v>2599</v>
      </c>
      <c r="G107" t="str">
        <f t="shared" si="3"/>
        <v>1.A.2</v>
      </c>
      <c r="H107" t="str">
        <f t="shared" si="4"/>
        <v>1.A.2</v>
      </c>
      <c r="I107" t="s">
        <v>2598</v>
      </c>
    </row>
    <row r="108" spans="2:9" x14ac:dyDescent="0.25">
      <c r="B108">
        <v>106</v>
      </c>
      <c r="C108">
        <v>5395</v>
      </c>
      <c r="D108" t="s">
        <v>2576</v>
      </c>
      <c r="E108" t="s">
        <v>2585</v>
      </c>
      <c r="F108" t="s">
        <v>2599</v>
      </c>
      <c r="G108" t="str">
        <f t="shared" si="3"/>
        <v>1.A.2</v>
      </c>
      <c r="H108" t="str">
        <f t="shared" si="4"/>
        <v>1.A.2</v>
      </c>
      <c r="I108" t="s">
        <v>2598</v>
      </c>
    </row>
    <row r="109" spans="2:9" x14ac:dyDescent="0.25">
      <c r="B109">
        <v>107</v>
      </c>
      <c r="C109">
        <v>540</v>
      </c>
      <c r="D109" t="s">
        <v>2576</v>
      </c>
      <c r="E109" t="s">
        <v>2585</v>
      </c>
      <c r="F109" t="s">
        <v>2599</v>
      </c>
      <c r="G109" t="str">
        <f t="shared" si="3"/>
        <v>1.A.2</v>
      </c>
      <c r="H109" t="str">
        <f t="shared" si="4"/>
        <v>1.A.2</v>
      </c>
      <c r="I109" t="s">
        <v>2598</v>
      </c>
    </row>
    <row r="110" spans="2:9" x14ac:dyDescent="0.25">
      <c r="B110">
        <v>108</v>
      </c>
      <c r="C110">
        <v>541</v>
      </c>
      <c r="D110" t="s">
        <v>2576</v>
      </c>
      <c r="E110" t="s">
        <v>2585</v>
      </c>
      <c r="F110" t="s">
        <v>2599</v>
      </c>
      <c r="G110" t="str">
        <f t="shared" si="3"/>
        <v>1.A.2</v>
      </c>
      <c r="H110" t="str">
        <f t="shared" si="4"/>
        <v>1.A.2</v>
      </c>
      <c r="I110" t="s">
        <v>2598</v>
      </c>
    </row>
    <row r="111" spans="2:9" x14ac:dyDescent="0.25">
      <c r="B111">
        <v>109</v>
      </c>
      <c r="C111">
        <v>542</v>
      </c>
      <c r="D111" t="s">
        <v>2576</v>
      </c>
      <c r="E111" t="s">
        <v>2585</v>
      </c>
      <c r="F111" t="s">
        <v>2599</v>
      </c>
      <c r="G111" t="str">
        <f t="shared" si="3"/>
        <v>1.A.2</v>
      </c>
      <c r="H111" t="str">
        <f t="shared" si="4"/>
        <v>1.A.2</v>
      </c>
      <c r="I111" t="s">
        <v>2598</v>
      </c>
    </row>
    <row r="112" spans="2:9" x14ac:dyDescent="0.25">
      <c r="B112">
        <v>110</v>
      </c>
      <c r="C112">
        <v>543</v>
      </c>
      <c r="D112" t="s">
        <v>2576</v>
      </c>
      <c r="E112" t="s">
        <v>2585</v>
      </c>
      <c r="F112" t="s">
        <v>2599</v>
      </c>
      <c r="G112" t="str">
        <f t="shared" si="3"/>
        <v>1.A.2</v>
      </c>
      <c r="H112" t="str">
        <f t="shared" si="4"/>
        <v>1.A.2</v>
      </c>
      <c r="I112" t="s">
        <v>2598</v>
      </c>
    </row>
    <row r="113" spans="2:9" x14ac:dyDescent="0.25">
      <c r="B113">
        <v>111</v>
      </c>
      <c r="C113">
        <v>545</v>
      </c>
      <c r="D113" t="s">
        <v>2576</v>
      </c>
      <c r="E113" t="s">
        <v>2585</v>
      </c>
      <c r="F113" t="s">
        <v>2599</v>
      </c>
      <c r="G113" t="str">
        <f t="shared" si="3"/>
        <v>1.A.2</v>
      </c>
      <c r="H113" t="str">
        <f t="shared" si="4"/>
        <v>1.A.2</v>
      </c>
      <c r="I113" t="s">
        <v>2598</v>
      </c>
    </row>
    <row r="114" spans="2:9" x14ac:dyDescent="0.25">
      <c r="B114">
        <v>112</v>
      </c>
      <c r="C114">
        <v>546</v>
      </c>
      <c r="D114" t="s">
        <v>2576</v>
      </c>
      <c r="E114" t="s">
        <v>2585</v>
      </c>
      <c r="F114" t="s">
        <v>2599</v>
      </c>
      <c r="G114" t="str">
        <f t="shared" si="3"/>
        <v>1.A.2</v>
      </c>
      <c r="H114" t="str">
        <f t="shared" si="4"/>
        <v>1.A.2</v>
      </c>
      <c r="I114" t="s">
        <v>2598</v>
      </c>
    </row>
    <row r="115" spans="2:9" x14ac:dyDescent="0.25">
      <c r="B115">
        <v>113</v>
      </c>
      <c r="C115">
        <v>547</v>
      </c>
      <c r="D115" t="s">
        <v>2576</v>
      </c>
      <c r="E115" t="s">
        <v>2585</v>
      </c>
      <c r="F115" t="s">
        <v>2599</v>
      </c>
      <c r="G115" t="str">
        <f t="shared" si="3"/>
        <v>1.A.2</v>
      </c>
      <c r="H115" t="str">
        <f t="shared" si="4"/>
        <v>1.A.2</v>
      </c>
      <c r="I115" t="s">
        <v>2598</v>
      </c>
    </row>
    <row r="116" spans="2:9" x14ac:dyDescent="0.25">
      <c r="B116">
        <v>114</v>
      </c>
      <c r="C116">
        <v>548</v>
      </c>
      <c r="D116" t="s">
        <v>2576</v>
      </c>
      <c r="E116" t="s">
        <v>2585</v>
      </c>
      <c r="F116" t="s">
        <v>2599</v>
      </c>
      <c r="G116" t="str">
        <f t="shared" si="3"/>
        <v>1.A.2</v>
      </c>
      <c r="H116" t="str">
        <f t="shared" si="4"/>
        <v>1.A.2</v>
      </c>
      <c r="I116" t="s">
        <v>2598</v>
      </c>
    </row>
    <row r="117" spans="2:9" x14ac:dyDescent="0.25">
      <c r="B117">
        <v>115</v>
      </c>
      <c r="C117">
        <v>549</v>
      </c>
      <c r="D117" t="s">
        <v>2576</v>
      </c>
      <c r="E117" t="s">
        <v>2585</v>
      </c>
      <c r="F117" t="s">
        <v>2599</v>
      </c>
      <c r="G117" t="str">
        <f t="shared" si="3"/>
        <v>1.A.2</v>
      </c>
      <c r="H117" t="str">
        <f t="shared" si="4"/>
        <v>1.A.2</v>
      </c>
      <c r="I117" t="s">
        <v>2598</v>
      </c>
    </row>
    <row r="118" spans="2:9" x14ac:dyDescent="0.25">
      <c r="B118">
        <v>116</v>
      </c>
      <c r="C118">
        <v>551</v>
      </c>
      <c r="D118" t="s">
        <v>2576</v>
      </c>
      <c r="E118" t="s">
        <v>2585</v>
      </c>
      <c r="F118" t="s">
        <v>2599</v>
      </c>
      <c r="G118" t="str">
        <f t="shared" si="3"/>
        <v>1.A.2</v>
      </c>
      <c r="H118" t="str">
        <f t="shared" si="4"/>
        <v>1.A.2</v>
      </c>
      <c r="I118" t="s">
        <v>2598</v>
      </c>
    </row>
    <row r="119" spans="2:9" x14ac:dyDescent="0.25">
      <c r="B119">
        <v>117</v>
      </c>
      <c r="C119">
        <v>5525</v>
      </c>
      <c r="D119" t="s">
        <v>2576</v>
      </c>
      <c r="E119" t="s">
        <v>2585</v>
      </c>
      <c r="F119" t="s">
        <v>2599</v>
      </c>
      <c r="G119" t="str">
        <f t="shared" si="3"/>
        <v>1.A.2</v>
      </c>
      <c r="H119" t="str">
        <f t="shared" si="4"/>
        <v>1.A.2</v>
      </c>
      <c r="I119" t="s">
        <v>2598</v>
      </c>
    </row>
    <row r="120" spans="2:9" x14ac:dyDescent="0.25">
      <c r="B120">
        <v>118</v>
      </c>
      <c r="C120">
        <v>5590</v>
      </c>
      <c r="D120" t="s">
        <v>2576</v>
      </c>
      <c r="E120" t="s">
        <v>2585</v>
      </c>
      <c r="F120" t="s">
        <v>2599</v>
      </c>
      <c r="G120" t="str">
        <f t="shared" si="3"/>
        <v>1.A.2</v>
      </c>
      <c r="H120" t="str">
        <f t="shared" si="4"/>
        <v>1.A.2</v>
      </c>
      <c r="I120" t="s">
        <v>2598</v>
      </c>
    </row>
    <row r="121" spans="2:9" x14ac:dyDescent="0.25">
      <c r="B121">
        <v>119</v>
      </c>
      <c r="C121">
        <v>565</v>
      </c>
      <c r="D121" t="s">
        <v>2576</v>
      </c>
      <c r="E121" t="s">
        <v>2585</v>
      </c>
      <c r="F121" t="s">
        <v>2599</v>
      </c>
      <c r="G121" t="str">
        <f t="shared" si="3"/>
        <v>1.A.2</v>
      </c>
      <c r="H121" t="str">
        <f t="shared" si="4"/>
        <v>1.A.2</v>
      </c>
      <c r="I121" t="s">
        <v>2598</v>
      </c>
    </row>
    <row r="122" spans="2:9" x14ac:dyDescent="0.25">
      <c r="B122">
        <v>120</v>
      </c>
      <c r="C122">
        <v>566</v>
      </c>
      <c r="D122" t="s">
        <v>2576</v>
      </c>
      <c r="E122" t="s">
        <v>2585</v>
      </c>
      <c r="F122" t="s">
        <v>2599</v>
      </c>
      <c r="G122" t="str">
        <f t="shared" si="3"/>
        <v>1.A.2</v>
      </c>
      <c r="H122" t="str">
        <f t="shared" si="4"/>
        <v>1.A.2</v>
      </c>
      <c r="I122" t="s">
        <v>2598</v>
      </c>
    </row>
    <row r="123" spans="2:9" x14ac:dyDescent="0.25">
      <c r="B123">
        <v>121</v>
      </c>
      <c r="C123">
        <v>5935</v>
      </c>
      <c r="D123" t="s">
        <v>2576</v>
      </c>
      <c r="E123" t="s">
        <v>2585</v>
      </c>
      <c r="F123" t="s">
        <v>2599</v>
      </c>
      <c r="G123" t="str">
        <f t="shared" si="3"/>
        <v>1.A.2</v>
      </c>
      <c r="H123" t="str">
        <f t="shared" si="4"/>
        <v>1.A.2</v>
      </c>
      <c r="I123" t="s">
        <v>2598</v>
      </c>
    </row>
    <row r="124" spans="2:9" x14ac:dyDescent="0.25">
      <c r="B124">
        <v>122</v>
      </c>
      <c r="C124">
        <v>5945</v>
      </c>
      <c r="D124" t="s">
        <v>2576</v>
      </c>
      <c r="E124" t="s">
        <v>2585</v>
      </c>
      <c r="F124" t="s">
        <v>2599</v>
      </c>
      <c r="G124" t="str">
        <f t="shared" si="3"/>
        <v>1.A.2</v>
      </c>
      <c r="H124" t="str">
        <f t="shared" si="4"/>
        <v>1.A.2</v>
      </c>
      <c r="I124" t="s">
        <v>2598</v>
      </c>
    </row>
    <row r="125" spans="2:9" x14ac:dyDescent="0.25">
      <c r="B125">
        <v>123</v>
      </c>
      <c r="C125">
        <v>5955</v>
      </c>
      <c r="D125" t="s">
        <v>2576</v>
      </c>
      <c r="E125" t="s">
        <v>2585</v>
      </c>
      <c r="F125" t="s">
        <v>2599</v>
      </c>
      <c r="G125" t="str">
        <f t="shared" si="3"/>
        <v>1.A.2</v>
      </c>
      <c r="H125" t="str">
        <f t="shared" si="4"/>
        <v>1.A.2</v>
      </c>
      <c r="I125" t="s">
        <v>2598</v>
      </c>
    </row>
    <row r="126" spans="2:9" x14ac:dyDescent="0.25">
      <c r="B126">
        <v>124</v>
      </c>
      <c r="C126">
        <v>596</v>
      </c>
      <c r="D126" t="s">
        <v>2576</v>
      </c>
      <c r="E126" t="s">
        <v>2585</v>
      </c>
      <c r="F126" t="s">
        <v>2599</v>
      </c>
      <c r="G126" t="str">
        <f t="shared" si="3"/>
        <v>1.A.2</v>
      </c>
      <c r="H126" t="str">
        <f t="shared" si="4"/>
        <v>1.A.2</v>
      </c>
      <c r="I126" t="s">
        <v>2598</v>
      </c>
    </row>
    <row r="127" spans="2:9" x14ac:dyDescent="0.25">
      <c r="B127">
        <v>125</v>
      </c>
      <c r="C127">
        <v>597</v>
      </c>
      <c r="D127" t="s">
        <v>2576</v>
      </c>
      <c r="E127" t="s">
        <v>2585</v>
      </c>
      <c r="F127" t="s">
        <v>2599</v>
      </c>
      <c r="G127" t="str">
        <f t="shared" si="3"/>
        <v>1.A.2</v>
      </c>
      <c r="H127" t="str">
        <f t="shared" si="4"/>
        <v>1.A.2</v>
      </c>
      <c r="I127" t="s">
        <v>2598</v>
      </c>
    </row>
    <row r="128" spans="2:9" x14ac:dyDescent="0.25">
      <c r="B128">
        <v>126</v>
      </c>
      <c r="C128">
        <v>598</v>
      </c>
      <c r="D128" t="s">
        <v>2576</v>
      </c>
      <c r="E128" t="s">
        <v>2585</v>
      </c>
      <c r="F128" t="s">
        <v>2599</v>
      </c>
      <c r="G128" t="str">
        <f t="shared" si="3"/>
        <v>1.A.2</v>
      </c>
      <c r="H128" t="str">
        <f t="shared" si="4"/>
        <v>1.A.2</v>
      </c>
      <c r="I128" t="s">
        <v>2598</v>
      </c>
    </row>
    <row r="129" spans="2:9" x14ac:dyDescent="0.25">
      <c r="B129">
        <v>127</v>
      </c>
      <c r="C129">
        <v>480</v>
      </c>
      <c r="D129" t="s">
        <v>2576</v>
      </c>
      <c r="E129" t="s">
        <v>2585</v>
      </c>
      <c r="F129" t="s">
        <v>2601</v>
      </c>
      <c r="G129" t="str">
        <f t="shared" si="3"/>
        <v>1.A.2</v>
      </c>
      <c r="H129" t="str">
        <f t="shared" si="4"/>
        <v>1.A.2</v>
      </c>
      <c r="I129" t="s">
        <v>2600</v>
      </c>
    </row>
    <row r="130" spans="2:9" x14ac:dyDescent="0.25">
      <c r="B130">
        <v>128</v>
      </c>
      <c r="C130">
        <v>567</v>
      </c>
      <c r="D130" t="s">
        <v>2576</v>
      </c>
      <c r="E130" t="s">
        <v>2585</v>
      </c>
      <c r="F130" t="s">
        <v>2601</v>
      </c>
      <c r="G130" t="str">
        <f t="shared" si="3"/>
        <v>1.A.2</v>
      </c>
      <c r="H130" t="str">
        <f t="shared" si="4"/>
        <v>1.A.2</v>
      </c>
      <c r="I130" t="s">
        <v>2600</v>
      </c>
    </row>
    <row r="131" spans="2:9" x14ac:dyDescent="0.25">
      <c r="B131">
        <v>129</v>
      </c>
      <c r="C131">
        <v>57</v>
      </c>
      <c r="D131" t="s">
        <v>2576</v>
      </c>
      <c r="E131" t="s">
        <v>2585</v>
      </c>
      <c r="F131" t="s">
        <v>2602</v>
      </c>
      <c r="G131" t="str">
        <f t="shared" si="3"/>
        <v>1.A.2</v>
      </c>
      <c r="H131" t="str">
        <f t="shared" si="4"/>
        <v>1.A.2</v>
      </c>
      <c r="I131" t="s">
        <v>2603</v>
      </c>
    </row>
    <row r="132" spans="2:9" x14ac:dyDescent="0.25">
      <c r="B132">
        <v>130</v>
      </c>
      <c r="D132" t="s">
        <v>2604</v>
      </c>
      <c r="F132" t="s">
        <v>2605</v>
      </c>
      <c r="G132" t="e">
        <f t="shared" si="3"/>
        <v>#N/A</v>
      </c>
      <c r="H132" t="str">
        <f>LEFT(I132,LEN(I132)-2)</f>
        <v>3.E</v>
      </c>
      <c r="I132" t="s">
        <v>2269</v>
      </c>
    </row>
    <row r="133" spans="2:9" x14ac:dyDescent="0.25">
      <c r="B133">
        <v>131</v>
      </c>
      <c r="D133" t="s">
        <v>2604</v>
      </c>
      <c r="F133" t="s">
        <v>1611</v>
      </c>
      <c r="G133" t="str">
        <f t="shared" si="3"/>
        <v>3.E.1</v>
      </c>
      <c r="H133" t="str">
        <f t="shared" si="4"/>
        <v>3.E.1</v>
      </c>
      <c r="I133" t="s">
        <v>2609</v>
      </c>
    </row>
    <row r="134" spans="2:9" x14ac:dyDescent="0.25">
      <c r="B134">
        <v>132</v>
      </c>
      <c r="C134">
        <v>100</v>
      </c>
      <c r="D134" t="s">
        <v>2604</v>
      </c>
      <c r="F134" t="s">
        <v>2606</v>
      </c>
      <c r="G134" t="str">
        <f t="shared" si="3"/>
        <v>3.E.1.1</v>
      </c>
      <c r="H134" t="str">
        <f t="shared" si="4"/>
        <v>3.E.1.1</v>
      </c>
      <c r="I134" t="s">
        <v>2661</v>
      </c>
    </row>
    <row r="135" spans="2:9" x14ac:dyDescent="0.25">
      <c r="B135">
        <v>133</v>
      </c>
      <c r="C135">
        <v>101</v>
      </c>
      <c r="D135" t="s">
        <v>2604</v>
      </c>
      <c r="F135" t="s">
        <v>2606</v>
      </c>
      <c r="G135" t="str">
        <f t="shared" si="3"/>
        <v>3.E.1.1</v>
      </c>
      <c r="H135" t="str">
        <f t="shared" si="4"/>
        <v>3.E.1.1</v>
      </c>
      <c r="I135" t="s">
        <v>2661</v>
      </c>
    </row>
    <row r="136" spans="2:9" x14ac:dyDescent="0.25">
      <c r="B136">
        <v>134</v>
      </c>
      <c r="C136">
        <v>102</v>
      </c>
      <c r="D136" t="s">
        <v>2604</v>
      </c>
      <c r="F136" t="s">
        <v>2606</v>
      </c>
      <c r="G136" t="str">
        <f t="shared" si="3"/>
        <v>3.E.1.1</v>
      </c>
      <c r="H136" t="str">
        <f t="shared" si="4"/>
        <v>3.E.1.1</v>
      </c>
      <c r="I136" t="s">
        <v>2661</v>
      </c>
    </row>
    <row r="137" spans="2:9" x14ac:dyDescent="0.25">
      <c r="B137">
        <v>135</v>
      </c>
      <c r="C137">
        <v>1030</v>
      </c>
      <c r="D137" t="s">
        <v>2604</v>
      </c>
      <c r="F137" t="s">
        <v>2607</v>
      </c>
      <c r="G137" t="str">
        <f t="shared" ref="G137:G200" si="5">VLOOKUP(H137,I:I,1,FALSE)</f>
        <v>3.E.1.1</v>
      </c>
      <c r="H137" t="str">
        <f t="shared" si="4"/>
        <v>3.E.1.1</v>
      </c>
      <c r="I137" t="s">
        <v>2660</v>
      </c>
    </row>
    <row r="138" spans="2:9" x14ac:dyDescent="0.25">
      <c r="B138">
        <v>136</v>
      </c>
      <c r="C138">
        <v>1040</v>
      </c>
      <c r="D138" t="s">
        <v>2604</v>
      </c>
      <c r="F138" t="s">
        <v>2607</v>
      </c>
      <c r="G138" t="str">
        <f t="shared" si="5"/>
        <v>3.E.1.1</v>
      </c>
      <c r="H138" t="str">
        <f t="shared" si="4"/>
        <v>3.E.1.1</v>
      </c>
      <c r="I138" t="s">
        <v>2660</v>
      </c>
    </row>
    <row r="139" spans="2:9" x14ac:dyDescent="0.25">
      <c r="B139">
        <v>137</v>
      </c>
      <c r="C139">
        <v>110</v>
      </c>
      <c r="D139" t="s">
        <v>2604</v>
      </c>
      <c r="F139" t="s">
        <v>2611</v>
      </c>
      <c r="G139" t="str">
        <f t="shared" si="5"/>
        <v>3.E.1</v>
      </c>
      <c r="H139" t="str">
        <f t="shared" ref="H139:H211" si="6">LEFT(I139,LEN(I139)-2)</f>
        <v>3.E.1</v>
      </c>
      <c r="I139" t="s">
        <v>2610</v>
      </c>
    </row>
    <row r="140" spans="2:9" x14ac:dyDescent="0.25">
      <c r="B140">
        <v>138</v>
      </c>
      <c r="C140">
        <v>112</v>
      </c>
      <c r="D140" t="s">
        <v>2604</v>
      </c>
      <c r="F140" t="s">
        <v>2612</v>
      </c>
      <c r="G140" t="str">
        <f t="shared" si="5"/>
        <v>3.E.1</v>
      </c>
      <c r="H140" t="str">
        <f t="shared" si="6"/>
        <v>3.E.1</v>
      </c>
      <c r="I140" t="s">
        <v>2617</v>
      </c>
    </row>
    <row r="141" spans="2:9" x14ac:dyDescent="0.25">
      <c r="B141">
        <v>139</v>
      </c>
      <c r="C141">
        <v>113</v>
      </c>
      <c r="D141" t="s">
        <v>2604</v>
      </c>
      <c r="F141" t="s">
        <v>2612</v>
      </c>
      <c r="G141" t="str">
        <f t="shared" si="5"/>
        <v>3.E.1</v>
      </c>
      <c r="H141" t="str">
        <f t="shared" si="6"/>
        <v>3.E.1</v>
      </c>
      <c r="I141" t="s">
        <v>2617</v>
      </c>
    </row>
    <row r="142" spans="2:9" x14ac:dyDescent="0.25">
      <c r="B142">
        <v>140</v>
      </c>
      <c r="C142">
        <v>114</v>
      </c>
      <c r="D142" t="s">
        <v>2604</v>
      </c>
      <c r="F142" t="s">
        <v>2612</v>
      </c>
      <c r="G142" t="str">
        <f t="shared" si="5"/>
        <v>3.E.1</v>
      </c>
      <c r="H142" t="str">
        <f t="shared" si="6"/>
        <v>3.E.1</v>
      </c>
      <c r="I142" t="s">
        <v>2617</v>
      </c>
    </row>
    <row r="143" spans="2:9" x14ac:dyDescent="0.25">
      <c r="B143">
        <v>141</v>
      </c>
      <c r="C143">
        <v>119</v>
      </c>
      <c r="D143" t="s">
        <v>2604</v>
      </c>
      <c r="F143" t="s">
        <v>2612</v>
      </c>
      <c r="G143" t="str">
        <f t="shared" si="5"/>
        <v>3.E.1</v>
      </c>
      <c r="H143" t="str">
        <f t="shared" si="6"/>
        <v>3.E.1</v>
      </c>
      <c r="I143" t="s">
        <v>2617</v>
      </c>
    </row>
    <row r="144" spans="2:9" x14ac:dyDescent="0.25">
      <c r="B144">
        <v>142</v>
      </c>
      <c r="C144">
        <v>108</v>
      </c>
      <c r="D144" t="s">
        <v>2604</v>
      </c>
      <c r="F144" t="s">
        <v>2613</v>
      </c>
      <c r="G144" t="str">
        <f t="shared" si="5"/>
        <v>3.E.1</v>
      </c>
      <c r="H144" t="str">
        <f t="shared" si="6"/>
        <v>3.E.1</v>
      </c>
      <c r="I144" t="s">
        <v>2618</v>
      </c>
    </row>
    <row r="145" spans="2:9" x14ac:dyDescent="0.25">
      <c r="B145">
        <v>143</v>
      </c>
      <c r="C145">
        <v>109</v>
      </c>
      <c r="D145" t="s">
        <v>2604</v>
      </c>
      <c r="F145" t="s">
        <v>2613</v>
      </c>
      <c r="G145" t="str">
        <f t="shared" si="5"/>
        <v>3.E.1</v>
      </c>
      <c r="H145" t="str">
        <f t="shared" si="6"/>
        <v>3.E.1</v>
      </c>
      <c r="I145" t="s">
        <v>2618</v>
      </c>
    </row>
    <row r="146" spans="2:9" x14ac:dyDescent="0.25">
      <c r="B146">
        <v>144</v>
      </c>
      <c r="C146">
        <v>120</v>
      </c>
      <c r="D146" t="s">
        <v>2604</v>
      </c>
      <c r="F146" t="s">
        <v>2614</v>
      </c>
      <c r="G146" t="str">
        <f t="shared" si="5"/>
        <v>3.E.1</v>
      </c>
      <c r="H146" t="str">
        <f t="shared" si="6"/>
        <v>3.E.1</v>
      </c>
      <c r="I146" t="s">
        <v>2619</v>
      </c>
    </row>
    <row r="147" spans="2:9" x14ac:dyDescent="0.25">
      <c r="B147">
        <v>145</v>
      </c>
      <c r="C147">
        <v>121</v>
      </c>
      <c r="D147" t="s">
        <v>2604</v>
      </c>
      <c r="F147" t="s">
        <v>2614</v>
      </c>
      <c r="G147" t="str">
        <f t="shared" si="5"/>
        <v>3.E.1</v>
      </c>
      <c r="H147" t="str">
        <f t="shared" si="6"/>
        <v>3.E.1</v>
      </c>
      <c r="I147" t="s">
        <v>2619</v>
      </c>
    </row>
    <row r="148" spans="2:9" x14ac:dyDescent="0.25">
      <c r="B148">
        <v>146</v>
      </c>
      <c r="C148">
        <v>118</v>
      </c>
      <c r="D148" t="s">
        <v>2604</v>
      </c>
      <c r="F148" t="s">
        <v>2615</v>
      </c>
      <c r="G148" t="str">
        <f t="shared" si="5"/>
        <v>3.E.1</v>
      </c>
      <c r="H148" t="str">
        <f t="shared" si="6"/>
        <v>3.E.1</v>
      </c>
      <c r="I148" t="s">
        <v>2620</v>
      </c>
    </row>
    <row r="149" spans="2:9" x14ac:dyDescent="0.25">
      <c r="B149">
        <v>147</v>
      </c>
      <c r="C149">
        <v>129</v>
      </c>
      <c r="D149" t="s">
        <v>2604</v>
      </c>
      <c r="F149" t="s">
        <v>1630</v>
      </c>
      <c r="G149" t="str">
        <f t="shared" si="5"/>
        <v>3.E.1</v>
      </c>
      <c r="H149" t="str">
        <f t="shared" si="6"/>
        <v>3.E.1</v>
      </c>
      <c r="I149" t="s">
        <v>2621</v>
      </c>
    </row>
    <row r="150" spans="2:9" x14ac:dyDescent="0.25">
      <c r="B150">
        <v>148</v>
      </c>
      <c r="C150">
        <v>557</v>
      </c>
      <c r="D150" t="s">
        <v>2604</v>
      </c>
      <c r="F150" t="s">
        <v>2616</v>
      </c>
      <c r="G150" t="str">
        <f t="shared" si="5"/>
        <v>3.E.1</v>
      </c>
      <c r="H150" t="str">
        <f t="shared" si="6"/>
        <v>3.E.1</v>
      </c>
      <c r="I150" t="s">
        <v>2622</v>
      </c>
    </row>
    <row r="151" spans="2:9" x14ac:dyDescent="0.25">
      <c r="B151">
        <v>149</v>
      </c>
      <c r="C151">
        <v>130</v>
      </c>
      <c r="D151" t="s">
        <v>2604</v>
      </c>
      <c r="F151" t="s">
        <v>2623</v>
      </c>
      <c r="G151" t="e">
        <f t="shared" si="5"/>
        <v>#N/A</v>
      </c>
      <c r="H151" t="str">
        <f t="shared" si="6"/>
        <v>3.E</v>
      </c>
      <c r="I151" t="s">
        <v>2608</v>
      </c>
    </row>
    <row r="152" spans="2:9" x14ac:dyDescent="0.25">
      <c r="B152">
        <v>150</v>
      </c>
      <c r="C152">
        <v>131</v>
      </c>
      <c r="D152" t="s">
        <v>2604</v>
      </c>
      <c r="F152" t="s">
        <v>2623</v>
      </c>
      <c r="G152" t="e">
        <f t="shared" si="5"/>
        <v>#N/A</v>
      </c>
      <c r="H152" t="str">
        <f t="shared" si="6"/>
        <v>3.E</v>
      </c>
      <c r="I152" t="s">
        <v>2608</v>
      </c>
    </row>
    <row r="153" spans="2:9" x14ac:dyDescent="0.25">
      <c r="B153">
        <v>151</v>
      </c>
      <c r="C153">
        <v>132</v>
      </c>
      <c r="D153" t="s">
        <v>2604</v>
      </c>
      <c r="F153" t="s">
        <v>2623</v>
      </c>
      <c r="G153" t="e">
        <f t="shared" si="5"/>
        <v>#N/A</v>
      </c>
      <c r="H153" t="str">
        <f t="shared" si="6"/>
        <v>3.E</v>
      </c>
      <c r="I153" t="s">
        <v>2608</v>
      </c>
    </row>
    <row r="154" spans="2:9" x14ac:dyDescent="0.25">
      <c r="B154">
        <v>152</v>
      </c>
      <c r="C154">
        <v>14</v>
      </c>
      <c r="D154" t="s">
        <v>2624</v>
      </c>
      <c r="E154" t="s">
        <v>2625</v>
      </c>
      <c r="F154" t="s">
        <v>2626</v>
      </c>
      <c r="G154" t="str">
        <f t="shared" si="5"/>
        <v>2.P.1</v>
      </c>
      <c r="H154" t="str">
        <f t="shared" si="6"/>
        <v>2.P.1</v>
      </c>
      <c r="I154" t="s">
        <v>2627</v>
      </c>
    </row>
    <row r="155" spans="2:9" x14ac:dyDescent="0.25">
      <c r="B155">
        <v>153</v>
      </c>
      <c r="D155" t="s">
        <v>2624</v>
      </c>
      <c r="E155" t="s">
        <v>2625</v>
      </c>
      <c r="F155" t="s">
        <v>1651</v>
      </c>
      <c r="G155" t="str">
        <f t="shared" si="5"/>
        <v>2.P.1</v>
      </c>
      <c r="H155" t="str">
        <f t="shared" si="6"/>
        <v>2.P.1</v>
      </c>
      <c r="I155" t="s">
        <v>2629</v>
      </c>
    </row>
    <row r="156" spans="2:9" x14ac:dyDescent="0.25">
      <c r="B156">
        <v>154</v>
      </c>
      <c r="C156">
        <v>1605</v>
      </c>
      <c r="D156" t="s">
        <v>2624</v>
      </c>
      <c r="E156" t="s">
        <v>2625</v>
      </c>
      <c r="F156" t="s">
        <v>2628</v>
      </c>
      <c r="G156" t="str">
        <f t="shared" si="5"/>
        <v>2.P.1.2</v>
      </c>
      <c r="H156" t="str">
        <f t="shared" si="6"/>
        <v>2.P.1.2</v>
      </c>
      <c r="I156" t="s">
        <v>2630</v>
      </c>
    </row>
    <row r="157" spans="2:9" x14ac:dyDescent="0.25">
      <c r="B157">
        <v>155</v>
      </c>
      <c r="C157">
        <v>170</v>
      </c>
      <c r="D157" t="s">
        <v>2624</v>
      </c>
      <c r="E157" t="s">
        <v>2625</v>
      </c>
      <c r="F157" t="s">
        <v>2628</v>
      </c>
      <c r="G157" t="str">
        <f t="shared" si="5"/>
        <v>2.P.1.2</v>
      </c>
      <c r="H157" t="str">
        <f t="shared" si="6"/>
        <v>2.P.1.2</v>
      </c>
      <c r="I157" t="s">
        <v>2630</v>
      </c>
    </row>
    <row r="158" spans="2:9" x14ac:dyDescent="0.25">
      <c r="B158">
        <v>156</v>
      </c>
      <c r="C158">
        <v>1625</v>
      </c>
      <c r="D158" t="s">
        <v>2624</v>
      </c>
      <c r="E158" t="s">
        <v>2625</v>
      </c>
      <c r="F158" t="s">
        <v>2631</v>
      </c>
      <c r="G158" t="str">
        <f t="shared" si="5"/>
        <v>2.P.1.2</v>
      </c>
      <c r="H158" t="str">
        <f t="shared" si="6"/>
        <v>2.P.1.2</v>
      </c>
      <c r="I158" t="s">
        <v>2632</v>
      </c>
    </row>
    <row r="159" spans="2:9" x14ac:dyDescent="0.25">
      <c r="B159">
        <v>157</v>
      </c>
      <c r="C159">
        <v>174</v>
      </c>
      <c r="D159" t="s">
        <v>2624</v>
      </c>
      <c r="E159" t="s">
        <v>2625</v>
      </c>
      <c r="F159" t="s">
        <v>2631</v>
      </c>
      <c r="G159" t="str">
        <f t="shared" si="5"/>
        <v>2.P.1.2</v>
      </c>
      <c r="H159" t="str">
        <f t="shared" si="6"/>
        <v>2.P.1.2</v>
      </c>
      <c r="I159" t="s">
        <v>2632</v>
      </c>
    </row>
    <row r="160" spans="2:9" x14ac:dyDescent="0.25">
      <c r="B160">
        <v>158</v>
      </c>
      <c r="C160">
        <v>1615</v>
      </c>
      <c r="D160" t="s">
        <v>2624</v>
      </c>
      <c r="E160" t="s">
        <v>2625</v>
      </c>
      <c r="F160" t="s">
        <v>2633</v>
      </c>
      <c r="G160" t="str">
        <f t="shared" si="5"/>
        <v>2.P.1.2</v>
      </c>
      <c r="H160" t="str">
        <f t="shared" si="6"/>
        <v>2.P.1.2</v>
      </c>
      <c r="I160" t="s">
        <v>2634</v>
      </c>
    </row>
    <row r="161" spans="2:9" x14ac:dyDescent="0.25">
      <c r="B161">
        <v>159</v>
      </c>
      <c r="C161">
        <v>1635</v>
      </c>
      <c r="D161" t="s">
        <v>2624</v>
      </c>
      <c r="E161" t="s">
        <v>2625</v>
      </c>
      <c r="F161" t="s">
        <v>2633</v>
      </c>
      <c r="G161" t="str">
        <f t="shared" si="5"/>
        <v>2.P.1.2</v>
      </c>
      <c r="H161" t="str">
        <f t="shared" si="6"/>
        <v>2.P.1.2</v>
      </c>
      <c r="I161" t="s">
        <v>2634</v>
      </c>
    </row>
    <row r="162" spans="2:9" x14ac:dyDescent="0.25">
      <c r="B162">
        <v>160</v>
      </c>
      <c r="C162">
        <v>171</v>
      </c>
      <c r="D162" t="s">
        <v>2624</v>
      </c>
      <c r="E162" t="s">
        <v>2625</v>
      </c>
      <c r="F162" t="s">
        <v>2633</v>
      </c>
      <c r="G162" t="str">
        <f t="shared" si="5"/>
        <v>2.P.1.2</v>
      </c>
      <c r="H162" t="str">
        <f t="shared" si="6"/>
        <v>2.P.1.2</v>
      </c>
      <c r="I162" t="s">
        <v>2634</v>
      </c>
    </row>
    <row r="163" spans="2:9" x14ac:dyDescent="0.25">
      <c r="B163">
        <v>161</v>
      </c>
      <c r="C163">
        <v>172</v>
      </c>
      <c r="D163" t="s">
        <v>2624</v>
      </c>
      <c r="E163" t="s">
        <v>2625</v>
      </c>
      <c r="F163" t="s">
        <v>2633</v>
      </c>
      <c r="G163" t="str">
        <f t="shared" si="5"/>
        <v>2.P.1.2</v>
      </c>
      <c r="H163" t="str">
        <f t="shared" si="6"/>
        <v>2.P.1.2</v>
      </c>
      <c r="I163" t="s">
        <v>2634</v>
      </c>
    </row>
    <row r="164" spans="2:9" x14ac:dyDescent="0.25">
      <c r="B164">
        <v>162</v>
      </c>
      <c r="C164">
        <v>173</v>
      </c>
      <c r="D164" t="s">
        <v>2624</v>
      </c>
      <c r="E164" t="s">
        <v>2625</v>
      </c>
      <c r="F164" t="s">
        <v>2633</v>
      </c>
      <c r="G164" t="str">
        <f t="shared" si="5"/>
        <v>2.P.1.2</v>
      </c>
      <c r="H164" t="str">
        <f t="shared" si="6"/>
        <v>2.P.1.2</v>
      </c>
      <c r="I164" t="s">
        <v>2634</v>
      </c>
    </row>
    <row r="165" spans="2:9" x14ac:dyDescent="0.25">
      <c r="B165">
        <v>163</v>
      </c>
      <c r="C165">
        <v>175</v>
      </c>
      <c r="D165" t="s">
        <v>2624</v>
      </c>
      <c r="E165" t="s">
        <v>2625</v>
      </c>
      <c r="F165" t="s">
        <v>2633</v>
      </c>
      <c r="G165" t="str">
        <f t="shared" si="5"/>
        <v>2.P.1.2</v>
      </c>
      <c r="H165" t="str">
        <f t="shared" si="6"/>
        <v>2.P.1.2</v>
      </c>
      <c r="I165" t="s">
        <v>2634</v>
      </c>
    </row>
    <row r="166" spans="2:9" x14ac:dyDescent="0.25">
      <c r="B166">
        <v>164</v>
      </c>
      <c r="C166">
        <v>176</v>
      </c>
      <c r="D166" t="s">
        <v>2624</v>
      </c>
      <c r="E166" t="s">
        <v>2625</v>
      </c>
      <c r="F166" t="s">
        <v>2633</v>
      </c>
      <c r="G166" t="str">
        <f t="shared" si="5"/>
        <v>2.P.1.2</v>
      </c>
      <c r="H166" t="str">
        <f t="shared" si="6"/>
        <v>2.P.1.2</v>
      </c>
      <c r="I166" t="s">
        <v>2634</v>
      </c>
    </row>
    <row r="167" spans="2:9" x14ac:dyDescent="0.25">
      <c r="B167">
        <v>165</v>
      </c>
      <c r="C167">
        <v>177</v>
      </c>
      <c r="D167" t="s">
        <v>2624</v>
      </c>
      <c r="E167" t="s">
        <v>2625</v>
      </c>
      <c r="F167" t="s">
        <v>2633</v>
      </c>
      <c r="G167" t="str">
        <f t="shared" si="5"/>
        <v>2.P.1.2</v>
      </c>
      <c r="H167" t="str">
        <f t="shared" si="6"/>
        <v>2.P.1.2</v>
      </c>
      <c r="I167" t="s">
        <v>2634</v>
      </c>
    </row>
    <row r="168" spans="2:9" x14ac:dyDescent="0.25">
      <c r="B168">
        <v>166</v>
      </c>
      <c r="C168">
        <v>179</v>
      </c>
      <c r="D168" t="s">
        <v>2624</v>
      </c>
      <c r="E168" t="s">
        <v>2625</v>
      </c>
      <c r="F168" t="s">
        <v>2633</v>
      </c>
      <c r="G168" t="str">
        <f t="shared" si="5"/>
        <v>2.P.1.2</v>
      </c>
      <c r="H168" t="str">
        <f t="shared" si="6"/>
        <v>2.P.1.2</v>
      </c>
      <c r="I168" t="s">
        <v>2634</v>
      </c>
    </row>
    <row r="169" spans="2:9" x14ac:dyDescent="0.25">
      <c r="B169">
        <v>167</v>
      </c>
      <c r="C169">
        <v>180</v>
      </c>
      <c r="D169" t="s">
        <v>2624</v>
      </c>
      <c r="E169" t="s">
        <v>2625</v>
      </c>
      <c r="F169" t="s">
        <v>2633</v>
      </c>
      <c r="G169" t="str">
        <f t="shared" si="5"/>
        <v>2.P.1.2</v>
      </c>
      <c r="H169" t="str">
        <f t="shared" si="6"/>
        <v>2.P.1.2</v>
      </c>
      <c r="I169" t="s">
        <v>2634</v>
      </c>
    </row>
    <row r="170" spans="2:9" x14ac:dyDescent="0.25">
      <c r="B170">
        <v>168</v>
      </c>
      <c r="C170">
        <v>185</v>
      </c>
      <c r="D170" t="s">
        <v>2624</v>
      </c>
      <c r="E170" t="s">
        <v>2625</v>
      </c>
      <c r="F170" t="s">
        <v>2633</v>
      </c>
      <c r="G170" t="str">
        <f t="shared" si="5"/>
        <v>2.P.1.2</v>
      </c>
      <c r="H170" t="str">
        <f t="shared" si="6"/>
        <v>2.P.1.2</v>
      </c>
      <c r="I170" t="s">
        <v>2634</v>
      </c>
    </row>
    <row r="171" spans="2:9" x14ac:dyDescent="0.25">
      <c r="B171">
        <v>169</v>
      </c>
      <c r="C171">
        <v>1603</v>
      </c>
      <c r="D171" t="s">
        <v>2624</v>
      </c>
      <c r="E171" t="s">
        <v>2625</v>
      </c>
      <c r="F171" t="s">
        <v>2668</v>
      </c>
      <c r="G171" t="str">
        <f t="shared" si="5"/>
        <v>2.P.1</v>
      </c>
      <c r="H171" t="str">
        <f t="shared" ref="H171:H178" si="7">LEFT(I171,LEN(I171)-2)</f>
        <v>2.P.1</v>
      </c>
      <c r="I171" t="s">
        <v>2669</v>
      </c>
    </row>
    <row r="172" spans="2:9" x14ac:dyDescent="0.25">
      <c r="B172">
        <v>170</v>
      </c>
      <c r="C172">
        <v>1604</v>
      </c>
      <c r="D172" t="s">
        <v>2624</v>
      </c>
      <c r="E172" t="s">
        <v>2625</v>
      </c>
      <c r="F172" t="s">
        <v>2668</v>
      </c>
      <c r="G172" t="str">
        <f t="shared" si="5"/>
        <v>2.P.1</v>
      </c>
      <c r="H172" t="str">
        <f t="shared" si="7"/>
        <v>2.P.1</v>
      </c>
      <c r="I172" t="s">
        <v>2669</v>
      </c>
    </row>
    <row r="173" spans="2:9" x14ac:dyDescent="0.25">
      <c r="B173">
        <v>171</v>
      </c>
      <c r="C173">
        <v>1613</v>
      </c>
      <c r="D173" t="s">
        <v>2624</v>
      </c>
      <c r="E173" t="s">
        <v>2625</v>
      </c>
      <c r="F173" t="s">
        <v>2668</v>
      </c>
      <c r="G173" t="str">
        <f t="shared" si="5"/>
        <v>2.P.1</v>
      </c>
      <c r="H173" t="str">
        <f t="shared" si="7"/>
        <v>2.P.1</v>
      </c>
      <c r="I173" t="s">
        <v>2669</v>
      </c>
    </row>
    <row r="174" spans="2:9" x14ac:dyDescent="0.25">
      <c r="B174">
        <v>172</v>
      </c>
      <c r="C174">
        <v>1614</v>
      </c>
      <c r="D174" t="s">
        <v>2624</v>
      </c>
      <c r="E174" t="s">
        <v>2625</v>
      </c>
      <c r="F174" t="s">
        <v>2668</v>
      </c>
      <c r="G174" t="str">
        <f t="shared" si="5"/>
        <v>2.P.1</v>
      </c>
      <c r="H174" t="str">
        <f t="shared" si="7"/>
        <v>2.P.1</v>
      </c>
      <c r="I174" t="s">
        <v>2669</v>
      </c>
    </row>
    <row r="175" spans="2:9" x14ac:dyDescent="0.25">
      <c r="B175">
        <v>173</v>
      </c>
      <c r="C175">
        <v>1623</v>
      </c>
      <c r="D175" t="s">
        <v>2624</v>
      </c>
      <c r="E175" t="s">
        <v>2625</v>
      </c>
      <c r="F175" t="s">
        <v>2668</v>
      </c>
      <c r="G175" t="str">
        <f t="shared" si="5"/>
        <v>2.P.1</v>
      </c>
      <c r="H175" t="str">
        <f t="shared" si="7"/>
        <v>2.P.1</v>
      </c>
      <c r="I175" t="s">
        <v>2669</v>
      </c>
    </row>
    <row r="176" spans="2:9" x14ac:dyDescent="0.25">
      <c r="B176">
        <v>174</v>
      </c>
      <c r="C176">
        <v>1624</v>
      </c>
      <c r="D176" t="s">
        <v>2624</v>
      </c>
      <c r="E176" t="s">
        <v>2625</v>
      </c>
      <c r="F176" t="s">
        <v>2668</v>
      </c>
      <c r="G176" t="str">
        <f t="shared" si="5"/>
        <v>2.P.1</v>
      </c>
      <c r="H176" t="str">
        <f t="shared" si="7"/>
        <v>2.P.1</v>
      </c>
      <c r="I176" t="s">
        <v>2669</v>
      </c>
    </row>
    <row r="177" spans="2:9" x14ac:dyDescent="0.25">
      <c r="B177">
        <v>175</v>
      </c>
      <c r="C177">
        <v>1633</v>
      </c>
      <c r="D177" t="s">
        <v>2624</v>
      </c>
      <c r="E177" t="s">
        <v>2625</v>
      </c>
      <c r="F177" t="s">
        <v>2668</v>
      </c>
      <c r="G177" t="str">
        <f t="shared" si="5"/>
        <v>2.P.1</v>
      </c>
      <c r="H177" t="str">
        <f t="shared" si="7"/>
        <v>2.P.1</v>
      </c>
      <c r="I177" t="s">
        <v>2669</v>
      </c>
    </row>
    <row r="178" spans="2:9" x14ac:dyDescent="0.25">
      <c r="B178">
        <v>176</v>
      </c>
      <c r="C178">
        <v>1634</v>
      </c>
      <c r="D178" t="s">
        <v>2624</v>
      </c>
      <c r="E178" t="s">
        <v>2625</v>
      </c>
      <c r="F178" t="s">
        <v>2668</v>
      </c>
      <c r="G178" t="str">
        <f t="shared" si="5"/>
        <v>2.P.1</v>
      </c>
      <c r="H178" t="str">
        <f t="shared" si="7"/>
        <v>2.P.1</v>
      </c>
      <c r="I178" t="s">
        <v>2669</v>
      </c>
    </row>
    <row r="179" spans="2:9" x14ac:dyDescent="0.25">
      <c r="B179">
        <v>177</v>
      </c>
      <c r="C179">
        <v>479</v>
      </c>
      <c r="D179" t="s">
        <v>2624</v>
      </c>
      <c r="E179" t="s">
        <v>2625</v>
      </c>
      <c r="F179" t="s">
        <v>2635</v>
      </c>
      <c r="G179" t="str">
        <f t="shared" si="5"/>
        <v>2.P.1</v>
      </c>
      <c r="H179" t="str">
        <f t="shared" si="6"/>
        <v>2.P.1</v>
      </c>
      <c r="I179" t="s">
        <v>2670</v>
      </c>
    </row>
    <row r="180" spans="2:9" x14ac:dyDescent="0.25">
      <c r="B180">
        <v>178</v>
      </c>
      <c r="C180">
        <v>181</v>
      </c>
      <c r="D180" t="s">
        <v>2624</v>
      </c>
      <c r="E180" t="s">
        <v>2625</v>
      </c>
      <c r="F180" t="s">
        <v>2636</v>
      </c>
      <c r="G180" t="str">
        <f t="shared" si="5"/>
        <v>2.P.1</v>
      </c>
      <c r="H180" t="str">
        <f t="shared" si="6"/>
        <v>2.P.1</v>
      </c>
      <c r="I180" t="s">
        <v>2671</v>
      </c>
    </row>
    <row r="181" spans="2:9" x14ac:dyDescent="0.25">
      <c r="B181">
        <v>179</v>
      </c>
      <c r="C181">
        <v>499</v>
      </c>
      <c r="D181" t="s">
        <v>2624</v>
      </c>
      <c r="E181" t="s">
        <v>2637</v>
      </c>
      <c r="F181" t="s">
        <v>1907</v>
      </c>
      <c r="G181" t="str">
        <f t="shared" si="5"/>
        <v>2.P.2</v>
      </c>
      <c r="H181" t="str">
        <f t="shared" si="6"/>
        <v>2.P.2</v>
      </c>
      <c r="I181" t="s">
        <v>2639</v>
      </c>
    </row>
    <row r="182" spans="2:9" x14ac:dyDescent="0.25">
      <c r="B182">
        <v>180</v>
      </c>
      <c r="C182">
        <v>529</v>
      </c>
      <c r="D182" t="s">
        <v>2624</v>
      </c>
      <c r="E182" t="s">
        <v>2637</v>
      </c>
      <c r="F182" t="s">
        <v>1907</v>
      </c>
      <c r="G182" t="str">
        <f t="shared" si="5"/>
        <v>2.P.2</v>
      </c>
      <c r="H182" t="str">
        <f t="shared" si="6"/>
        <v>2.P.2</v>
      </c>
      <c r="I182" t="s">
        <v>2639</v>
      </c>
    </row>
    <row r="183" spans="2:9" x14ac:dyDescent="0.25">
      <c r="B183">
        <v>181</v>
      </c>
      <c r="D183" t="s">
        <v>2624</v>
      </c>
      <c r="E183" t="s">
        <v>2637</v>
      </c>
      <c r="F183" t="s">
        <v>1899</v>
      </c>
      <c r="G183" t="str">
        <f t="shared" si="5"/>
        <v>2.P.2</v>
      </c>
      <c r="H183" t="str">
        <f t="shared" si="6"/>
        <v>2.P.2</v>
      </c>
      <c r="I183" t="s">
        <v>2640</v>
      </c>
    </row>
    <row r="184" spans="2:9" x14ac:dyDescent="0.25">
      <c r="B184">
        <v>182</v>
      </c>
      <c r="C184">
        <v>5105</v>
      </c>
      <c r="D184" t="s">
        <v>2624</v>
      </c>
      <c r="E184" t="s">
        <v>2637</v>
      </c>
      <c r="F184" t="s">
        <v>2628</v>
      </c>
      <c r="G184" t="str">
        <f t="shared" si="5"/>
        <v>2.P.2.2</v>
      </c>
      <c r="H184" t="str">
        <f t="shared" si="6"/>
        <v>2.P.2.2</v>
      </c>
      <c r="I184" t="s">
        <v>2641</v>
      </c>
    </row>
    <row r="185" spans="2:9" x14ac:dyDescent="0.25">
      <c r="B185">
        <v>183</v>
      </c>
      <c r="C185">
        <v>520</v>
      </c>
      <c r="D185" t="s">
        <v>2624</v>
      </c>
      <c r="E185" t="s">
        <v>2637</v>
      </c>
      <c r="F185" t="s">
        <v>2628</v>
      </c>
      <c r="G185" t="str">
        <f t="shared" si="5"/>
        <v>2.P.2.2</v>
      </c>
      <c r="H185" t="str">
        <f t="shared" si="6"/>
        <v>2.P.2.2</v>
      </c>
      <c r="I185" t="s">
        <v>2641</v>
      </c>
    </row>
    <row r="186" spans="2:9" x14ac:dyDescent="0.25">
      <c r="B186">
        <v>184</v>
      </c>
      <c r="C186">
        <v>527</v>
      </c>
      <c r="D186" t="s">
        <v>2624</v>
      </c>
      <c r="E186" t="s">
        <v>2637</v>
      </c>
      <c r="F186" t="s">
        <v>2628</v>
      </c>
      <c r="G186" t="str">
        <f t="shared" si="5"/>
        <v>2.P.2.2</v>
      </c>
      <c r="H186" t="str">
        <f t="shared" si="6"/>
        <v>2.P.2.2</v>
      </c>
      <c r="I186" t="s">
        <v>2641</v>
      </c>
    </row>
    <row r="187" spans="2:9" x14ac:dyDescent="0.25">
      <c r="B187">
        <v>185</v>
      </c>
      <c r="C187">
        <v>5125</v>
      </c>
      <c r="D187" t="s">
        <v>2624</v>
      </c>
      <c r="E187" t="s">
        <v>2637</v>
      </c>
      <c r="F187" t="s">
        <v>2631</v>
      </c>
      <c r="G187" t="str">
        <f t="shared" si="5"/>
        <v>2.P.2.2</v>
      </c>
      <c r="H187" t="str">
        <f t="shared" si="6"/>
        <v>2.P.2.2</v>
      </c>
      <c r="I187" t="s">
        <v>2642</v>
      </c>
    </row>
    <row r="188" spans="2:9" x14ac:dyDescent="0.25">
      <c r="B188">
        <v>186</v>
      </c>
      <c r="C188">
        <v>524</v>
      </c>
      <c r="D188" t="s">
        <v>2624</v>
      </c>
      <c r="E188" t="s">
        <v>2637</v>
      </c>
      <c r="F188" t="s">
        <v>2631</v>
      </c>
      <c r="G188" t="str">
        <f t="shared" si="5"/>
        <v>2.P.2.2</v>
      </c>
      <c r="H188" t="str">
        <f t="shared" ref="H188" si="8">LEFT(I188,LEN(I188)-2)</f>
        <v>2.P.2.2</v>
      </c>
      <c r="I188" t="s">
        <v>2642</v>
      </c>
    </row>
    <row r="189" spans="2:9" x14ac:dyDescent="0.25">
      <c r="B189">
        <v>187</v>
      </c>
      <c r="C189">
        <v>1034</v>
      </c>
      <c r="D189" t="s">
        <v>2624</v>
      </c>
      <c r="E189" t="s">
        <v>2637</v>
      </c>
      <c r="F189" t="s">
        <v>2643</v>
      </c>
      <c r="G189" t="str">
        <f t="shared" si="5"/>
        <v>2.P.2.2</v>
      </c>
      <c r="H189" t="str">
        <f t="shared" si="6"/>
        <v>2.P.2.2</v>
      </c>
      <c r="I189" t="s">
        <v>2644</v>
      </c>
    </row>
    <row r="190" spans="2:9" x14ac:dyDescent="0.25">
      <c r="B190">
        <v>188</v>
      </c>
      <c r="C190">
        <v>1044</v>
      </c>
      <c r="D190" t="s">
        <v>2624</v>
      </c>
      <c r="E190" t="s">
        <v>2637</v>
      </c>
      <c r="F190" t="s">
        <v>2643</v>
      </c>
      <c r="G190" t="str">
        <f t="shared" si="5"/>
        <v>2.P.2.2</v>
      </c>
      <c r="H190" t="str">
        <f t="shared" si="6"/>
        <v>2.P.2.2</v>
      </c>
      <c r="I190" t="s">
        <v>2644</v>
      </c>
    </row>
    <row r="191" spans="2:9" x14ac:dyDescent="0.25">
      <c r="B191">
        <v>189</v>
      </c>
      <c r="C191">
        <v>190</v>
      </c>
      <c r="D191" t="s">
        <v>2624</v>
      </c>
      <c r="E191" t="s">
        <v>2637</v>
      </c>
      <c r="F191" t="s">
        <v>2643</v>
      </c>
      <c r="G191" t="str">
        <f t="shared" si="5"/>
        <v>2.P.2.2</v>
      </c>
      <c r="H191" t="str">
        <f t="shared" si="6"/>
        <v>2.P.2.2</v>
      </c>
      <c r="I191" t="s">
        <v>2644</v>
      </c>
    </row>
    <row r="192" spans="2:9" x14ac:dyDescent="0.25">
      <c r="B192">
        <v>190</v>
      </c>
      <c r="C192">
        <v>192</v>
      </c>
      <c r="D192" t="s">
        <v>2624</v>
      </c>
      <c r="E192" t="s">
        <v>2637</v>
      </c>
      <c r="F192" t="s">
        <v>2643</v>
      </c>
      <c r="G192" t="str">
        <f t="shared" si="5"/>
        <v>2.P.2.2</v>
      </c>
      <c r="H192" t="str">
        <f t="shared" si="6"/>
        <v>2.P.2.2</v>
      </c>
      <c r="I192" t="s">
        <v>2644</v>
      </c>
    </row>
    <row r="193" spans="2:9" x14ac:dyDescent="0.25">
      <c r="B193">
        <v>191</v>
      </c>
      <c r="C193">
        <v>194</v>
      </c>
      <c r="D193" t="s">
        <v>2624</v>
      </c>
      <c r="E193" t="s">
        <v>2637</v>
      </c>
      <c r="F193" t="s">
        <v>2643</v>
      </c>
      <c r="G193" t="str">
        <f t="shared" si="5"/>
        <v>2.P.2.2</v>
      </c>
      <c r="H193" t="str">
        <f t="shared" si="6"/>
        <v>2.P.2.2</v>
      </c>
      <c r="I193" t="s">
        <v>2644</v>
      </c>
    </row>
    <row r="194" spans="2:9" x14ac:dyDescent="0.25">
      <c r="B194">
        <v>192</v>
      </c>
      <c r="C194">
        <v>500</v>
      </c>
      <c r="D194" t="s">
        <v>2624</v>
      </c>
      <c r="E194" t="s">
        <v>2637</v>
      </c>
      <c r="F194" t="s">
        <v>2643</v>
      </c>
      <c r="G194" t="str">
        <f t="shared" si="5"/>
        <v>2.P.2.2</v>
      </c>
      <c r="H194" t="str">
        <f t="shared" si="6"/>
        <v>2.P.2.2</v>
      </c>
      <c r="I194" t="s">
        <v>2644</v>
      </c>
    </row>
    <row r="195" spans="2:9" x14ac:dyDescent="0.25">
      <c r="B195">
        <v>193</v>
      </c>
      <c r="C195">
        <v>505</v>
      </c>
      <c r="D195" t="s">
        <v>2624</v>
      </c>
      <c r="E195" t="s">
        <v>2637</v>
      </c>
      <c r="F195" t="s">
        <v>2643</v>
      </c>
      <c r="G195" t="str">
        <f t="shared" si="5"/>
        <v>2.P.2.2</v>
      </c>
      <c r="H195" t="str">
        <f t="shared" si="6"/>
        <v>2.P.2.2</v>
      </c>
      <c r="I195" t="s">
        <v>2644</v>
      </c>
    </row>
    <row r="196" spans="2:9" x14ac:dyDescent="0.25">
      <c r="B196">
        <v>194</v>
      </c>
      <c r="C196">
        <v>506</v>
      </c>
      <c r="D196" t="s">
        <v>2624</v>
      </c>
      <c r="E196" t="s">
        <v>2637</v>
      </c>
      <c r="F196" t="s">
        <v>2643</v>
      </c>
      <c r="G196" t="str">
        <f t="shared" si="5"/>
        <v>2.P.2.2</v>
      </c>
      <c r="H196" t="str">
        <f t="shared" si="6"/>
        <v>2.P.2.2</v>
      </c>
      <c r="I196" t="s">
        <v>2644</v>
      </c>
    </row>
    <row r="197" spans="2:9" x14ac:dyDescent="0.25">
      <c r="B197">
        <v>195</v>
      </c>
      <c r="C197">
        <v>509</v>
      </c>
      <c r="D197" t="s">
        <v>2624</v>
      </c>
      <c r="E197" t="s">
        <v>2637</v>
      </c>
      <c r="F197" t="s">
        <v>2643</v>
      </c>
      <c r="G197" t="str">
        <f t="shared" si="5"/>
        <v>2.P.2.2</v>
      </c>
      <c r="H197" t="str">
        <f t="shared" si="6"/>
        <v>2.P.2.2</v>
      </c>
      <c r="I197" t="s">
        <v>2644</v>
      </c>
    </row>
    <row r="198" spans="2:9" x14ac:dyDescent="0.25">
      <c r="B198">
        <v>196</v>
      </c>
      <c r="C198">
        <v>5115</v>
      </c>
      <c r="D198" t="s">
        <v>2624</v>
      </c>
      <c r="E198" t="s">
        <v>2637</v>
      </c>
      <c r="F198" t="s">
        <v>2643</v>
      </c>
      <c r="G198" t="str">
        <f t="shared" si="5"/>
        <v>2.P.2.2</v>
      </c>
      <c r="H198" t="str">
        <f t="shared" si="6"/>
        <v>2.P.2.2</v>
      </c>
      <c r="I198" t="s">
        <v>2644</v>
      </c>
    </row>
    <row r="199" spans="2:9" x14ac:dyDescent="0.25">
      <c r="B199">
        <v>197</v>
      </c>
      <c r="C199">
        <v>5135</v>
      </c>
      <c r="D199" t="s">
        <v>2624</v>
      </c>
      <c r="E199" t="s">
        <v>2637</v>
      </c>
      <c r="F199" t="s">
        <v>2643</v>
      </c>
      <c r="G199" t="str">
        <f t="shared" si="5"/>
        <v>2.P.2.2</v>
      </c>
      <c r="H199" t="str">
        <f t="shared" si="6"/>
        <v>2.P.2.2</v>
      </c>
      <c r="I199" t="s">
        <v>2644</v>
      </c>
    </row>
    <row r="200" spans="2:9" x14ac:dyDescent="0.25">
      <c r="B200">
        <v>198</v>
      </c>
      <c r="C200">
        <v>5145</v>
      </c>
      <c r="D200" t="s">
        <v>2624</v>
      </c>
      <c r="E200" t="s">
        <v>2637</v>
      </c>
      <c r="F200" t="s">
        <v>2643</v>
      </c>
      <c r="G200" t="str">
        <f t="shared" si="5"/>
        <v>2.P.2.2</v>
      </c>
      <c r="H200" t="str">
        <f t="shared" si="6"/>
        <v>2.P.2.2</v>
      </c>
      <c r="I200" t="s">
        <v>2644</v>
      </c>
    </row>
    <row r="201" spans="2:9" x14ac:dyDescent="0.25">
      <c r="B201">
        <v>199</v>
      </c>
      <c r="C201">
        <v>521</v>
      </c>
      <c r="D201" t="s">
        <v>2624</v>
      </c>
      <c r="E201" t="s">
        <v>2637</v>
      </c>
      <c r="F201" t="s">
        <v>2643</v>
      </c>
      <c r="G201" t="str">
        <f t="shared" ref="G201:G243" si="9">VLOOKUP(H201,I:I,1,FALSE)</f>
        <v>2.P.2.2</v>
      </c>
      <c r="H201" t="str">
        <f t="shared" si="6"/>
        <v>2.P.2.2</v>
      </c>
      <c r="I201" t="s">
        <v>2644</v>
      </c>
    </row>
    <row r="202" spans="2:9" x14ac:dyDescent="0.25">
      <c r="B202">
        <v>200</v>
      </c>
      <c r="C202">
        <v>522</v>
      </c>
      <c r="D202" t="s">
        <v>2624</v>
      </c>
      <c r="E202" t="s">
        <v>2637</v>
      </c>
      <c r="F202" t="s">
        <v>2643</v>
      </c>
      <c r="G202" t="str">
        <f t="shared" si="9"/>
        <v>2.P.2.2</v>
      </c>
      <c r="H202" t="str">
        <f t="shared" si="6"/>
        <v>2.P.2.2</v>
      </c>
      <c r="I202" t="s">
        <v>2644</v>
      </c>
    </row>
    <row r="203" spans="2:9" x14ac:dyDescent="0.25">
      <c r="B203">
        <v>201</v>
      </c>
      <c r="C203">
        <v>523</v>
      </c>
      <c r="D203" t="s">
        <v>2624</v>
      </c>
      <c r="E203" t="s">
        <v>2637</v>
      </c>
      <c r="F203" t="s">
        <v>2643</v>
      </c>
      <c r="G203" t="str">
        <f t="shared" si="9"/>
        <v>2.P.2.2</v>
      </c>
      <c r="H203" t="str">
        <f t="shared" si="6"/>
        <v>2.P.2.2</v>
      </c>
      <c r="I203" t="s">
        <v>2644</v>
      </c>
    </row>
    <row r="204" spans="2:9" x14ac:dyDescent="0.25">
      <c r="B204">
        <v>202</v>
      </c>
      <c r="C204">
        <v>525</v>
      </c>
      <c r="D204" t="s">
        <v>2624</v>
      </c>
      <c r="E204" t="s">
        <v>2637</v>
      </c>
      <c r="F204" t="s">
        <v>2643</v>
      </c>
      <c r="G204" t="str">
        <f t="shared" si="9"/>
        <v>2.P.2.2</v>
      </c>
      <c r="H204" t="str">
        <f t="shared" si="6"/>
        <v>2.P.2.2</v>
      </c>
      <c r="I204" t="s">
        <v>2644</v>
      </c>
    </row>
    <row r="205" spans="2:9" x14ac:dyDescent="0.25">
      <c r="B205">
        <v>203</v>
      </c>
      <c r="C205">
        <v>526</v>
      </c>
      <c r="D205" t="s">
        <v>2624</v>
      </c>
      <c r="E205" t="s">
        <v>2637</v>
      </c>
      <c r="F205" t="s">
        <v>2643</v>
      </c>
      <c r="G205" t="str">
        <f t="shared" si="9"/>
        <v>2.P.2.2</v>
      </c>
      <c r="H205" t="str">
        <f t="shared" si="6"/>
        <v>2.P.2.2</v>
      </c>
      <c r="I205" t="s">
        <v>2644</v>
      </c>
    </row>
    <row r="206" spans="2:9" x14ac:dyDescent="0.25">
      <c r="B206">
        <v>204</v>
      </c>
      <c r="C206">
        <v>528</v>
      </c>
      <c r="D206" t="s">
        <v>2624</v>
      </c>
      <c r="E206" t="s">
        <v>2637</v>
      </c>
      <c r="F206" t="s">
        <v>2643</v>
      </c>
      <c r="G206" t="str">
        <f t="shared" si="9"/>
        <v>2.P.2.2</v>
      </c>
      <c r="H206" t="str">
        <f t="shared" si="6"/>
        <v>2.P.2.2</v>
      </c>
      <c r="I206" t="s">
        <v>2644</v>
      </c>
    </row>
    <row r="207" spans="2:9" x14ac:dyDescent="0.25">
      <c r="B207">
        <v>205</v>
      </c>
      <c r="C207">
        <v>551</v>
      </c>
      <c r="D207" t="s">
        <v>2624</v>
      </c>
      <c r="E207" t="s">
        <v>2637</v>
      </c>
      <c r="F207" t="s">
        <v>2643</v>
      </c>
      <c r="G207" t="str">
        <f t="shared" si="9"/>
        <v>2.P.2.2</v>
      </c>
      <c r="H207" t="str">
        <f t="shared" si="6"/>
        <v>2.P.2.2</v>
      </c>
      <c r="I207" t="s">
        <v>2644</v>
      </c>
    </row>
    <row r="208" spans="2:9" x14ac:dyDescent="0.25">
      <c r="B208">
        <v>206</v>
      </c>
      <c r="C208">
        <v>5525</v>
      </c>
      <c r="D208" t="s">
        <v>2624</v>
      </c>
      <c r="E208" t="s">
        <v>2637</v>
      </c>
      <c r="F208" t="s">
        <v>2643</v>
      </c>
      <c r="G208" t="str">
        <f t="shared" si="9"/>
        <v>2.P.2.2</v>
      </c>
      <c r="H208" t="str">
        <f t="shared" si="6"/>
        <v>2.P.2.2</v>
      </c>
      <c r="I208" t="s">
        <v>2644</v>
      </c>
    </row>
    <row r="209" spans="2:9" x14ac:dyDescent="0.25">
      <c r="B209">
        <v>207</v>
      </c>
      <c r="C209">
        <v>555</v>
      </c>
      <c r="D209" t="s">
        <v>2624</v>
      </c>
      <c r="E209" t="s">
        <v>2637</v>
      </c>
      <c r="F209" t="s">
        <v>2643</v>
      </c>
      <c r="G209" t="str">
        <f t="shared" si="9"/>
        <v>2.P.2.2</v>
      </c>
      <c r="H209" t="str">
        <f t="shared" si="6"/>
        <v>2.P.2.2</v>
      </c>
      <c r="I209" t="s">
        <v>2644</v>
      </c>
    </row>
    <row r="210" spans="2:9" x14ac:dyDescent="0.25">
      <c r="B210">
        <v>208</v>
      </c>
      <c r="C210">
        <v>5565</v>
      </c>
      <c r="D210" t="s">
        <v>2624</v>
      </c>
      <c r="E210" t="s">
        <v>2637</v>
      </c>
      <c r="F210" t="s">
        <v>2643</v>
      </c>
      <c r="G210" t="str">
        <f t="shared" si="9"/>
        <v>2.P.2.2</v>
      </c>
      <c r="H210" t="str">
        <f t="shared" si="6"/>
        <v>2.P.2.2</v>
      </c>
      <c r="I210" t="s">
        <v>2644</v>
      </c>
    </row>
    <row r="211" spans="2:9" x14ac:dyDescent="0.25">
      <c r="B211">
        <v>209</v>
      </c>
      <c r="C211">
        <v>5566</v>
      </c>
      <c r="D211" t="s">
        <v>2624</v>
      </c>
      <c r="E211" t="s">
        <v>2637</v>
      </c>
      <c r="F211" t="s">
        <v>2643</v>
      </c>
      <c r="G211" t="str">
        <f t="shared" si="9"/>
        <v>2.P.2.2</v>
      </c>
      <c r="H211" t="str">
        <f t="shared" si="6"/>
        <v>2.P.2.2</v>
      </c>
      <c r="I211" t="s">
        <v>2644</v>
      </c>
    </row>
    <row r="212" spans="2:9" x14ac:dyDescent="0.25">
      <c r="B212">
        <v>210</v>
      </c>
      <c r="C212">
        <v>5595</v>
      </c>
      <c r="D212" t="s">
        <v>2624</v>
      </c>
      <c r="E212" t="s">
        <v>2637</v>
      </c>
      <c r="F212" t="s">
        <v>2643</v>
      </c>
      <c r="G212" t="str">
        <f t="shared" si="9"/>
        <v>2.P.2.2</v>
      </c>
      <c r="H212" t="str">
        <f t="shared" ref="H212:H243" si="10">LEFT(I212,LEN(I212)-2)</f>
        <v>2.P.2.2</v>
      </c>
      <c r="I212" t="s">
        <v>2644</v>
      </c>
    </row>
    <row r="213" spans="2:9" x14ac:dyDescent="0.25">
      <c r="B213">
        <v>211</v>
      </c>
      <c r="C213">
        <v>560</v>
      </c>
      <c r="D213" t="s">
        <v>2624</v>
      </c>
      <c r="E213" t="s">
        <v>2637</v>
      </c>
      <c r="F213" t="s">
        <v>2643</v>
      </c>
      <c r="G213" t="str">
        <f t="shared" si="9"/>
        <v>2.P.2.2</v>
      </c>
      <c r="H213" t="str">
        <f t="shared" si="10"/>
        <v>2.P.2.2</v>
      </c>
      <c r="I213" t="s">
        <v>2644</v>
      </c>
    </row>
    <row r="214" spans="2:9" x14ac:dyDescent="0.25">
      <c r="B214">
        <v>212</v>
      </c>
      <c r="C214">
        <v>561</v>
      </c>
      <c r="D214" t="s">
        <v>2624</v>
      </c>
      <c r="E214" t="s">
        <v>2637</v>
      </c>
      <c r="F214" t="s">
        <v>2643</v>
      </c>
      <c r="G214" t="str">
        <f t="shared" si="9"/>
        <v>2.P.2.2</v>
      </c>
      <c r="H214" t="str">
        <f t="shared" si="10"/>
        <v>2.P.2.2</v>
      </c>
      <c r="I214" t="s">
        <v>2644</v>
      </c>
    </row>
    <row r="215" spans="2:9" x14ac:dyDescent="0.25">
      <c r="B215">
        <v>213</v>
      </c>
      <c r="C215">
        <v>5103</v>
      </c>
      <c r="D215" t="s">
        <v>2624</v>
      </c>
      <c r="E215" t="s">
        <v>2637</v>
      </c>
      <c r="F215" t="s">
        <v>2645</v>
      </c>
      <c r="G215" t="str">
        <f t="shared" si="9"/>
        <v>2.P.2</v>
      </c>
      <c r="H215" t="str">
        <f t="shared" si="10"/>
        <v>2.P.2</v>
      </c>
      <c r="I215" t="s">
        <v>2646</v>
      </c>
    </row>
    <row r="216" spans="2:9" x14ac:dyDescent="0.25">
      <c r="B216">
        <v>214</v>
      </c>
      <c r="C216">
        <v>5104</v>
      </c>
      <c r="D216" t="s">
        <v>2624</v>
      </c>
      <c r="E216" t="s">
        <v>2637</v>
      </c>
      <c r="F216" t="s">
        <v>2645</v>
      </c>
      <c r="G216" t="str">
        <f t="shared" si="9"/>
        <v>2.P.2</v>
      </c>
      <c r="H216" t="str">
        <f t="shared" si="10"/>
        <v>2.P.2</v>
      </c>
      <c r="I216" t="s">
        <v>2646</v>
      </c>
    </row>
    <row r="217" spans="2:9" x14ac:dyDescent="0.25">
      <c r="B217">
        <v>215</v>
      </c>
      <c r="C217">
        <v>5113</v>
      </c>
      <c r="D217" t="s">
        <v>2624</v>
      </c>
      <c r="E217" t="s">
        <v>2637</v>
      </c>
      <c r="F217" t="s">
        <v>2645</v>
      </c>
      <c r="G217" t="str">
        <f t="shared" si="9"/>
        <v>2.P.2</v>
      </c>
      <c r="H217" t="str">
        <f t="shared" si="10"/>
        <v>2.P.2</v>
      </c>
      <c r="I217" t="s">
        <v>2646</v>
      </c>
    </row>
    <row r="218" spans="2:9" x14ac:dyDescent="0.25">
      <c r="B218">
        <v>216</v>
      </c>
      <c r="C218">
        <v>5114</v>
      </c>
      <c r="D218" t="s">
        <v>2624</v>
      </c>
      <c r="E218" t="s">
        <v>2637</v>
      </c>
      <c r="F218" t="s">
        <v>2645</v>
      </c>
      <c r="G218" t="str">
        <f t="shared" si="9"/>
        <v>2.P.2</v>
      </c>
      <c r="H218" t="str">
        <f t="shared" si="10"/>
        <v>2.P.2</v>
      </c>
      <c r="I218" t="s">
        <v>2646</v>
      </c>
    </row>
    <row r="219" spans="2:9" x14ac:dyDescent="0.25">
      <c r="B219">
        <v>217</v>
      </c>
      <c r="C219">
        <v>5123</v>
      </c>
      <c r="D219" t="s">
        <v>2624</v>
      </c>
      <c r="E219" t="s">
        <v>2637</v>
      </c>
      <c r="F219" t="s">
        <v>2645</v>
      </c>
      <c r="G219" t="str">
        <f t="shared" si="9"/>
        <v>2.P.2</v>
      </c>
      <c r="H219" t="str">
        <f t="shared" si="10"/>
        <v>2.P.2</v>
      </c>
      <c r="I219" t="s">
        <v>2646</v>
      </c>
    </row>
    <row r="220" spans="2:9" x14ac:dyDescent="0.25">
      <c r="B220">
        <v>218</v>
      </c>
      <c r="C220">
        <v>5124</v>
      </c>
      <c r="D220" t="s">
        <v>2624</v>
      </c>
      <c r="E220" t="s">
        <v>2637</v>
      </c>
      <c r="F220" t="s">
        <v>2645</v>
      </c>
      <c r="G220" t="str">
        <f t="shared" si="9"/>
        <v>2.P.2</v>
      </c>
      <c r="H220" t="str">
        <f t="shared" si="10"/>
        <v>2.P.2</v>
      </c>
      <c r="I220" t="s">
        <v>2646</v>
      </c>
    </row>
    <row r="221" spans="2:9" x14ac:dyDescent="0.25">
      <c r="B221">
        <v>219</v>
      </c>
      <c r="C221">
        <v>5133</v>
      </c>
      <c r="D221" t="s">
        <v>2624</v>
      </c>
      <c r="E221" t="s">
        <v>2637</v>
      </c>
      <c r="F221" t="s">
        <v>2645</v>
      </c>
      <c r="G221" t="str">
        <f t="shared" si="9"/>
        <v>2.P.2</v>
      </c>
      <c r="H221" t="str">
        <f t="shared" si="10"/>
        <v>2.P.2</v>
      </c>
      <c r="I221" t="s">
        <v>2646</v>
      </c>
    </row>
    <row r="222" spans="2:9" x14ac:dyDescent="0.25">
      <c r="B222">
        <v>220</v>
      </c>
      <c r="C222">
        <v>5134</v>
      </c>
      <c r="D222" t="s">
        <v>2624</v>
      </c>
      <c r="E222" t="s">
        <v>2637</v>
      </c>
      <c r="F222" t="s">
        <v>2645</v>
      </c>
      <c r="G222" t="str">
        <f t="shared" si="9"/>
        <v>2.P.2</v>
      </c>
      <c r="H222" t="str">
        <f t="shared" si="10"/>
        <v>2.P.2</v>
      </c>
      <c r="I222" t="s">
        <v>2646</v>
      </c>
    </row>
    <row r="223" spans="2:9" x14ac:dyDescent="0.25">
      <c r="B223">
        <v>221</v>
      </c>
      <c r="C223">
        <v>5143</v>
      </c>
      <c r="D223" t="s">
        <v>2624</v>
      </c>
      <c r="E223" t="s">
        <v>2637</v>
      </c>
      <c r="F223" t="s">
        <v>2645</v>
      </c>
      <c r="G223" t="str">
        <f t="shared" si="9"/>
        <v>2.P.2</v>
      </c>
      <c r="H223" t="str">
        <f t="shared" si="10"/>
        <v>2.P.2</v>
      </c>
      <c r="I223" t="s">
        <v>2646</v>
      </c>
    </row>
    <row r="224" spans="2:9" x14ac:dyDescent="0.25">
      <c r="B224">
        <v>222</v>
      </c>
      <c r="C224">
        <v>5144</v>
      </c>
      <c r="D224" t="s">
        <v>2624</v>
      </c>
      <c r="E224" t="s">
        <v>2637</v>
      </c>
      <c r="F224" t="s">
        <v>2645</v>
      </c>
      <c r="G224" t="str">
        <f t="shared" si="9"/>
        <v>2.P.2</v>
      </c>
      <c r="H224" t="str">
        <f t="shared" si="10"/>
        <v>2.P.2</v>
      </c>
      <c r="I224" t="s">
        <v>2646</v>
      </c>
    </row>
    <row r="225" spans="2:9" x14ac:dyDescent="0.25">
      <c r="B225">
        <v>223</v>
      </c>
      <c r="C225">
        <v>5523</v>
      </c>
      <c r="D225" t="s">
        <v>2624</v>
      </c>
      <c r="E225" t="s">
        <v>2637</v>
      </c>
      <c r="F225" t="s">
        <v>2645</v>
      </c>
      <c r="G225" t="str">
        <f t="shared" si="9"/>
        <v>2.P.2</v>
      </c>
      <c r="H225" t="str">
        <f t="shared" si="10"/>
        <v>2.P.2</v>
      </c>
      <c r="I225" t="s">
        <v>2646</v>
      </c>
    </row>
    <row r="226" spans="2:9" x14ac:dyDescent="0.25">
      <c r="B226">
        <v>224</v>
      </c>
      <c r="C226">
        <v>5524</v>
      </c>
      <c r="D226" t="s">
        <v>2624</v>
      </c>
      <c r="E226" t="s">
        <v>2637</v>
      </c>
      <c r="F226" t="s">
        <v>2645</v>
      </c>
      <c r="G226" t="str">
        <f t="shared" si="9"/>
        <v>2.P.2</v>
      </c>
      <c r="H226" t="str">
        <f t="shared" si="10"/>
        <v>2.P.2</v>
      </c>
      <c r="I226" t="s">
        <v>2646</v>
      </c>
    </row>
    <row r="227" spans="2:9" x14ac:dyDescent="0.25">
      <c r="B227">
        <v>225</v>
      </c>
      <c r="C227">
        <v>5563</v>
      </c>
      <c r="D227" t="s">
        <v>2624</v>
      </c>
      <c r="E227" t="s">
        <v>2637</v>
      </c>
      <c r="F227" t="s">
        <v>2645</v>
      </c>
      <c r="G227" t="str">
        <f t="shared" si="9"/>
        <v>2.P.2</v>
      </c>
      <c r="H227" t="str">
        <f t="shared" si="10"/>
        <v>2.P.2</v>
      </c>
      <c r="I227" t="s">
        <v>2646</v>
      </c>
    </row>
    <row r="228" spans="2:9" x14ac:dyDescent="0.25">
      <c r="B228">
        <v>226</v>
      </c>
      <c r="C228">
        <v>5564</v>
      </c>
      <c r="D228" t="s">
        <v>2624</v>
      </c>
      <c r="E228" t="s">
        <v>2637</v>
      </c>
      <c r="F228" t="s">
        <v>2645</v>
      </c>
      <c r="G228" t="str">
        <f t="shared" si="9"/>
        <v>2.P.2</v>
      </c>
      <c r="H228" t="str">
        <f t="shared" si="10"/>
        <v>2.P.2</v>
      </c>
      <c r="I228" t="s">
        <v>2646</v>
      </c>
    </row>
    <row r="229" spans="2:9" x14ac:dyDescent="0.25">
      <c r="B229">
        <v>227</v>
      </c>
      <c r="D229" t="s">
        <v>2624</v>
      </c>
      <c r="E229" t="s">
        <v>2637</v>
      </c>
      <c r="F229" t="s">
        <v>1969</v>
      </c>
      <c r="G229" t="str">
        <f t="shared" si="9"/>
        <v>2.P.2</v>
      </c>
      <c r="H229" t="str">
        <f t="shared" si="10"/>
        <v>2.P.2</v>
      </c>
      <c r="I229" t="s">
        <v>2647</v>
      </c>
    </row>
    <row r="230" spans="2:9" x14ac:dyDescent="0.25">
      <c r="B230">
        <v>228</v>
      </c>
      <c r="C230">
        <v>400</v>
      </c>
      <c r="D230" t="s">
        <v>2624</v>
      </c>
      <c r="E230" t="s">
        <v>2637</v>
      </c>
      <c r="F230" t="s">
        <v>1790</v>
      </c>
      <c r="G230" t="str">
        <f t="shared" si="9"/>
        <v>2.P.2.4</v>
      </c>
      <c r="H230" t="str">
        <f t="shared" si="10"/>
        <v>2.P.2.4</v>
      </c>
      <c r="I230" t="s">
        <v>2648</v>
      </c>
    </row>
    <row r="231" spans="2:9" x14ac:dyDescent="0.25">
      <c r="B231">
        <v>229</v>
      </c>
      <c r="C231">
        <v>401</v>
      </c>
      <c r="D231" t="s">
        <v>2624</v>
      </c>
      <c r="E231" t="s">
        <v>2637</v>
      </c>
      <c r="F231" t="s">
        <v>1790</v>
      </c>
      <c r="G231" t="str">
        <f t="shared" si="9"/>
        <v>2.P.2.4</v>
      </c>
      <c r="H231" t="str">
        <f t="shared" si="10"/>
        <v>2.P.2.4</v>
      </c>
      <c r="I231" t="s">
        <v>2648</v>
      </c>
    </row>
    <row r="232" spans="2:9" x14ac:dyDescent="0.25">
      <c r="B232">
        <v>230</v>
      </c>
      <c r="C232">
        <v>403</v>
      </c>
      <c r="D232" t="s">
        <v>2624</v>
      </c>
      <c r="E232" t="s">
        <v>2637</v>
      </c>
      <c r="F232" t="s">
        <v>1790</v>
      </c>
      <c r="G232" t="str">
        <f t="shared" si="9"/>
        <v>2.P.2.4</v>
      </c>
      <c r="H232" t="str">
        <f t="shared" si="10"/>
        <v>2.P.2.4</v>
      </c>
      <c r="I232" t="s">
        <v>2648</v>
      </c>
    </row>
    <row r="233" spans="2:9" x14ac:dyDescent="0.25">
      <c r="B233">
        <v>231</v>
      </c>
      <c r="C233">
        <v>404</v>
      </c>
      <c r="D233" t="s">
        <v>2624</v>
      </c>
      <c r="E233" t="s">
        <v>2637</v>
      </c>
      <c r="F233" t="s">
        <v>1790</v>
      </c>
      <c r="G233" t="str">
        <f t="shared" si="9"/>
        <v>2.P.2.4</v>
      </c>
      <c r="H233" t="str">
        <f t="shared" si="10"/>
        <v>2.P.2.4</v>
      </c>
      <c r="I233" t="s">
        <v>2648</v>
      </c>
    </row>
    <row r="234" spans="2:9" x14ac:dyDescent="0.25">
      <c r="B234">
        <v>232</v>
      </c>
      <c r="C234">
        <v>405</v>
      </c>
      <c r="D234" t="s">
        <v>2624</v>
      </c>
      <c r="E234" t="s">
        <v>2637</v>
      </c>
      <c r="F234" t="s">
        <v>1790</v>
      </c>
      <c r="G234" t="str">
        <f t="shared" si="9"/>
        <v>2.P.2.4</v>
      </c>
      <c r="H234" t="str">
        <f t="shared" si="10"/>
        <v>2.P.2.4</v>
      </c>
      <c r="I234" t="s">
        <v>2648</v>
      </c>
    </row>
    <row r="235" spans="2:9" x14ac:dyDescent="0.25">
      <c r="B235">
        <v>233</v>
      </c>
      <c r="C235">
        <v>406</v>
      </c>
      <c r="D235" t="s">
        <v>2624</v>
      </c>
      <c r="E235" t="s">
        <v>2637</v>
      </c>
      <c r="F235" t="s">
        <v>1790</v>
      </c>
      <c r="G235" t="str">
        <f t="shared" si="9"/>
        <v>2.P.2.4</v>
      </c>
      <c r="H235" t="str">
        <f t="shared" si="10"/>
        <v>2.P.2.4</v>
      </c>
      <c r="I235" t="s">
        <v>2648</v>
      </c>
    </row>
    <row r="236" spans="2:9" x14ac:dyDescent="0.25">
      <c r="B236">
        <v>234</v>
      </c>
      <c r="C236">
        <v>41</v>
      </c>
      <c r="D236" t="s">
        <v>2624</v>
      </c>
      <c r="E236" t="s">
        <v>2637</v>
      </c>
      <c r="F236" t="s">
        <v>2650</v>
      </c>
      <c r="G236" t="str">
        <f t="shared" si="9"/>
        <v>2.P.2.4</v>
      </c>
      <c r="H236" t="str">
        <f t="shared" si="10"/>
        <v>2.P.2.4</v>
      </c>
      <c r="I236" t="s">
        <v>2649</v>
      </c>
    </row>
    <row r="237" spans="2:9" x14ac:dyDescent="0.25">
      <c r="B237">
        <v>235</v>
      </c>
      <c r="C237">
        <v>438</v>
      </c>
      <c r="D237" t="s">
        <v>2624</v>
      </c>
      <c r="E237" t="s">
        <v>2637</v>
      </c>
      <c r="F237" t="s">
        <v>2650</v>
      </c>
      <c r="G237" t="str">
        <f t="shared" si="9"/>
        <v>2.P.2.4</v>
      </c>
      <c r="H237" t="str">
        <f t="shared" si="10"/>
        <v>2.P.2.4</v>
      </c>
      <c r="I237" t="s">
        <v>2649</v>
      </c>
    </row>
    <row r="238" spans="2:9" x14ac:dyDescent="0.25">
      <c r="B238">
        <v>236</v>
      </c>
      <c r="C238">
        <v>465</v>
      </c>
      <c r="D238" t="s">
        <v>2624</v>
      </c>
      <c r="E238" t="s">
        <v>2637</v>
      </c>
      <c r="F238" t="s">
        <v>2650</v>
      </c>
      <c r="G238" t="str">
        <f t="shared" si="9"/>
        <v>2.P.2.4</v>
      </c>
      <c r="H238" t="str">
        <f t="shared" si="10"/>
        <v>2.P.2.4</v>
      </c>
      <c r="I238" t="s">
        <v>2649</v>
      </c>
    </row>
    <row r="239" spans="2:9" x14ac:dyDescent="0.25">
      <c r="B239">
        <v>237</v>
      </c>
      <c r="C239">
        <v>475</v>
      </c>
      <c r="D239" t="s">
        <v>2624</v>
      </c>
      <c r="E239" t="s">
        <v>2637</v>
      </c>
      <c r="F239" t="s">
        <v>2650</v>
      </c>
      <c r="G239" t="str">
        <f t="shared" si="9"/>
        <v>2.P.2.4</v>
      </c>
      <c r="H239" t="str">
        <f t="shared" si="10"/>
        <v>2.P.2.4</v>
      </c>
      <c r="I239" t="s">
        <v>2649</v>
      </c>
    </row>
    <row r="240" spans="2:9" x14ac:dyDescent="0.25">
      <c r="B240">
        <v>238</v>
      </c>
      <c r="C240">
        <v>476</v>
      </c>
      <c r="D240" t="s">
        <v>2624</v>
      </c>
      <c r="E240" t="s">
        <v>2637</v>
      </c>
      <c r="F240" t="s">
        <v>2650</v>
      </c>
      <c r="G240" t="str">
        <f t="shared" si="9"/>
        <v>2.P.2.4</v>
      </c>
      <c r="H240" t="str">
        <f t="shared" si="10"/>
        <v>2.P.2.4</v>
      </c>
      <c r="I240" t="s">
        <v>2649</v>
      </c>
    </row>
    <row r="241" spans="2:9" x14ac:dyDescent="0.25">
      <c r="B241">
        <v>239</v>
      </c>
      <c r="C241">
        <v>477</v>
      </c>
      <c r="D241" t="s">
        <v>2624</v>
      </c>
      <c r="E241" t="s">
        <v>2637</v>
      </c>
      <c r="F241" t="s">
        <v>2650</v>
      </c>
      <c r="G241" t="str">
        <f t="shared" si="9"/>
        <v>2.P.2.4</v>
      </c>
      <c r="H241" t="str">
        <f t="shared" si="10"/>
        <v>2.P.2.4</v>
      </c>
      <c r="I241" t="s">
        <v>2649</v>
      </c>
    </row>
    <row r="242" spans="2:9" x14ac:dyDescent="0.25">
      <c r="B242">
        <v>240</v>
      </c>
      <c r="C242">
        <v>485</v>
      </c>
      <c r="D242" t="s">
        <v>2624</v>
      </c>
      <c r="E242" t="s">
        <v>2637</v>
      </c>
      <c r="F242" t="s">
        <v>2601</v>
      </c>
      <c r="G242" t="str">
        <f t="shared" si="9"/>
        <v>2.P.2</v>
      </c>
      <c r="H242" t="str">
        <f t="shared" si="10"/>
        <v>2.P.2</v>
      </c>
      <c r="I242" t="s">
        <v>2651</v>
      </c>
    </row>
    <row r="243" spans="2:9" x14ac:dyDescent="0.25">
      <c r="B243">
        <v>241</v>
      </c>
      <c r="C243">
        <v>568</v>
      </c>
      <c r="D243" t="s">
        <v>2624</v>
      </c>
      <c r="E243" t="s">
        <v>2637</v>
      </c>
      <c r="F243" t="s">
        <v>2601</v>
      </c>
      <c r="G243" t="str">
        <f t="shared" si="9"/>
        <v>2.P.2</v>
      </c>
      <c r="H243" t="str">
        <f t="shared" si="10"/>
        <v>2.P.2</v>
      </c>
      <c r="I243" t="s">
        <v>2651</v>
      </c>
    </row>
  </sheetData>
  <autoFilter ref="B2:I243" xr:uid="{03D71511-ABEC-4576-8095-5D1BEC9C7F8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06B3C-8855-47DD-BF0F-C7F56A813A64}">
  <dimension ref="B1:D781"/>
  <sheetViews>
    <sheetView topLeftCell="A188" zoomScale="85" zoomScaleNormal="85" workbookViewId="0">
      <selection activeCell="B230" sqref="B230"/>
    </sheetView>
  </sheetViews>
  <sheetFormatPr defaultRowHeight="15.75" x14ac:dyDescent="0.25"/>
  <cols>
    <col min="2" max="2" width="97.5" customWidth="1"/>
    <col min="4" max="4" width="70.625" customWidth="1"/>
  </cols>
  <sheetData>
    <row r="1" spans="2:4" x14ac:dyDescent="0.25">
      <c r="B1" t="s">
        <v>570</v>
      </c>
      <c r="C1" t="s">
        <v>571</v>
      </c>
      <c r="D1" t="s">
        <v>570</v>
      </c>
    </row>
    <row r="2" spans="2:4" x14ac:dyDescent="0.25">
      <c r="B2" t="s">
        <v>1556</v>
      </c>
      <c r="C2" s="3" t="s">
        <v>1557</v>
      </c>
      <c r="D2" t="str">
        <f t="shared" ref="D2:D9" si="0">MID(B2,FIND(".",B2)+2,LEN(B2))</f>
        <v>FINANCIACIÓN BÁSICA</v>
      </c>
    </row>
    <row r="3" spans="2:4" x14ac:dyDescent="0.25">
      <c r="B3" t="s">
        <v>1558</v>
      </c>
      <c r="C3" s="3" t="s">
        <v>1559</v>
      </c>
      <c r="D3" t="str">
        <f t="shared" si="0"/>
        <v>ACTIVO NO CORRIENTE</v>
      </c>
    </row>
    <row r="4" spans="2:4" x14ac:dyDescent="0.25">
      <c r="B4" t="s">
        <v>1560</v>
      </c>
      <c r="C4" s="3" t="s">
        <v>1561</v>
      </c>
      <c r="D4" t="str">
        <f t="shared" si="0"/>
        <v>ACTIVO CORRIENTE</v>
      </c>
    </row>
    <row r="5" spans="2:4" x14ac:dyDescent="0.25">
      <c r="B5" t="s">
        <v>1562</v>
      </c>
      <c r="C5" s="3" t="s">
        <v>1563</v>
      </c>
      <c r="D5" t="str">
        <f t="shared" si="0"/>
        <v>PASIVO</v>
      </c>
    </row>
    <row r="6" spans="2:4" x14ac:dyDescent="0.25">
      <c r="B6" t="s">
        <v>1564</v>
      </c>
      <c r="C6" s="3" t="s">
        <v>1565</v>
      </c>
      <c r="D6" t="str">
        <f t="shared" si="0"/>
        <v>CUENTAS FINANCIERAS</v>
      </c>
    </row>
    <row r="7" spans="2:4" x14ac:dyDescent="0.25">
      <c r="B7" t="s">
        <v>1566</v>
      </c>
      <c r="C7" s="3" t="s">
        <v>1567</v>
      </c>
      <c r="D7" t="str">
        <f t="shared" si="0"/>
        <v>COMPRAS Y GASTOS</v>
      </c>
    </row>
    <row r="8" spans="2:4" x14ac:dyDescent="0.25">
      <c r="B8" t="s">
        <v>1568</v>
      </c>
      <c r="C8" s="3" t="s">
        <v>1569</v>
      </c>
      <c r="D8" t="str">
        <f t="shared" si="0"/>
        <v>VENTAS E INGRESOS</v>
      </c>
    </row>
    <row r="9" spans="2:4" x14ac:dyDescent="0.25">
      <c r="B9" t="s">
        <v>8</v>
      </c>
      <c r="C9" t="s">
        <v>572</v>
      </c>
      <c r="D9" t="str">
        <f t="shared" si="0"/>
        <v>CAPITAL</v>
      </c>
    </row>
    <row r="10" spans="2:4" x14ac:dyDescent="0.25">
      <c r="B10" t="s">
        <v>9</v>
      </c>
      <c r="C10" t="s">
        <v>573</v>
      </c>
      <c r="D10" t="str">
        <f t="shared" ref="D10:D73" si="1">MID(B10,FIND(".",B10)+2,LEN(B10))</f>
        <v>Capital social</v>
      </c>
    </row>
    <row r="11" spans="2:4" x14ac:dyDescent="0.25">
      <c r="B11" t="s">
        <v>10</v>
      </c>
      <c r="C11" t="s">
        <v>574</v>
      </c>
      <c r="D11" t="str">
        <f t="shared" si="1"/>
        <v>Fondo social</v>
      </c>
    </row>
    <row r="12" spans="2:4" x14ac:dyDescent="0.25">
      <c r="B12" t="s">
        <v>11</v>
      </c>
      <c r="C12" t="s">
        <v>575</v>
      </c>
      <c r="D12" t="str">
        <f t="shared" si="1"/>
        <v>Capital</v>
      </c>
    </row>
    <row r="13" spans="2:4" x14ac:dyDescent="0.25">
      <c r="B13" t="s">
        <v>12</v>
      </c>
      <c r="C13" t="s">
        <v>576</v>
      </c>
      <c r="D13" t="str">
        <f t="shared" si="1"/>
        <v>Socios por desembolsos no exigidos</v>
      </c>
    </row>
    <row r="14" spans="2:4" x14ac:dyDescent="0.25">
      <c r="B14" t="s">
        <v>13</v>
      </c>
      <c r="C14" t="s">
        <v>577</v>
      </c>
      <c r="D14" t="str">
        <f t="shared" si="1"/>
        <v>Socios por desembolsos no exigidos, capital social</v>
      </c>
    </row>
    <row r="15" spans="2:4" x14ac:dyDescent="0.25">
      <c r="B15" t="s">
        <v>562</v>
      </c>
      <c r="C15" t="s">
        <v>578</v>
      </c>
      <c r="D15" t="str">
        <f t="shared" si="1"/>
        <v>Socios por desembolsos no exigidos, capital pendiente de inscripción</v>
      </c>
    </row>
    <row r="16" spans="2:4" x14ac:dyDescent="0.25">
      <c r="B16" t="s">
        <v>14</v>
      </c>
      <c r="C16" t="s">
        <v>579</v>
      </c>
      <c r="D16" t="str">
        <f t="shared" si="1"/>
        <v>Socios por aportaciones no dinerarias pendientes</v>
      </c>
    </row>
    <row r="17" spans="2:4" x14ac:dyDescent="0.25">
      <c r="B17" t="s">
        <v>563</v>
      </c>
      <c r="C17" t="s">
        <v>580</v>
      </c>
      <c r="D17" t="str">
        <f t="shared" si="1"/>
        <v>Socios por aportaciones no dinerarias pendientes, capital social</v>
      </c>
    </row>
    <row r="18" spans="2:4" x14ac:dyDescent="0.25">
      <c r="B18" t="s">
        <v>564</v>
      </c>
      <c r="C18" t="s">
        <v>581</v>
      </c>
      <c r="D18" t="str">
        <f t="shared" si="1"/>
        <v>Socios por aportaciones no dinerarias pendientes, capital pendiente de inscripción</v>
      </c>
    </row>
    <row r="19" spans="2:4" x14ac:dyDescent="0.25">
      <c r="B19" t="s">
        <v>15</v>
      </c>
      <c r="C19" t="s">
        <v>582</v>
      </c>
      <c r="D19" t="str">
        <f t="shared" si="1"/>
        <v>Acciones o participaciones propias en situaciones especiales</v>
      </c>
    </row>
    <row r="20" spans="2:4" x14ac:dyDescent="0.25">
      <c r="B20" t="s">
        <v>16</v>
      </c>
      <c r="C20" t="s">
        <v>583</v>
      </c>
      <c r="D20" t="str">
        <f t="shared" si="1"/>
        <v>Acciones o participaciones propias para reducción de capital</v>
      </c>
    </row>
    <row r="21" spans="2:4" x14ac:dyDescent="0.25">
      <c r="B21" t="s">
        <v>17</v>
      </c>
      <c r="C21" t="s">
        <v>584</v>
      </c>
      <c r="D21" t="str">
        <f t="shared" si="1"/>
        <v>RESERVAS</v>
      </c>
    </row>
    <row r="22" spans="2:4" x14ac:dyDescent="0.25">
      <c r="B22" t="s">
        <v>18</v>
      </c>
      <c r="C22" t="s">
        <v>585</v>
      </c>
      <c r="D22" t="str">
        <f t="shared" si="1"/>
        <v>Prima de emisión o asunción</v>
      </c>
    </row>
    <row r="23" spans="2:4" x14ac:dyDescent="0.25">
      <c r="B23" t="s">
        <v>19</v>
      </c>
      <c r="C23" t="s">
        <v>586</v>
      </c>
      <c r="D23" t="str">
        <f t="shared" si="1"/>
        <v>Reserva legal</v>
      </c>
    </row>
    <row r="24" spans="2:4" x14ac:dyDescent="0.25">
      <c r="B24" t="s">
        <v>20</v>
      </c>
      <c r="C24" t="s">
        <v>587</v>
      </c>
      <c r="D24" t="str">
        <f t="shared" si="1"/>
        <v>Reservas voluntarias</v>
      </c>
    </row>
    <row r="25" spans="2:4" x14ac:dyDescent="0.25">
      <c r="B25" t="s">
        <v>21</v>
      </c>
      <c r="C25" t="s">
        <v>588</v>
      </c>
      <c r="D25" t="str">
        <f t="shared" si="1"/>
        <v>Reservas especiales</v>
      </c>
    </row>
    <row r="26" spans="2:4" x14ac:dyDescent="0.25">
      <c r="B26" t="s">
        <v>565</v>
      </c>
      <c r="C26" t="s">
        <v>589</v>
      </c>
      <c r="D26" t="str">
        <f t="shared" si="1"/>
        <v>Reservas para acciones o participaciones de la sociedad dominante</v>
      </c>
    </row>
    <row r="27" spans="2:4" x14ac:dyDescent="0.25">
      <c r="B27" t="s">
        <v>22</v>
      </c>
      <c r="C27" t="s">
        <v>590</v>
      </c>
      <c r="D27" t="str">
        <f t="shared" si="1"/>
        <v>Reservas estatutarias</v>
      </c>
    </row>
    <row r="28" spans="2:4" x14ac:dyDescent="0.25">
      <c r="B28" t="s">
        <v>23</v>
      </c>
      <c r="C28" t="s">
        <v>591</v>
      </c>
      <c r="D28" t="str">
        <f t="shared" si="1"/>
        <v>Reserva por capital amortizado</v>
      </c>
    </row>
    <row r="29" spans="2:4" x14ac:dyDescent="0.25">
      <c r="B29" t="s">
        <v>24</v>
      </c>
      <c r="C29" t="s">
        <v>592</v>
      </c>
      <c r="D29" t="str">
        <f t="shared" si="1"/>
        <v>Reservas por acciones propias aceptadas en garantía</v>
      </c>
    </row>
    <row r="30" spans="2:4" x14ac:dyDescent="0.25">
      <c r="B30" t="s">
        <v>25</v>
      </c>
      <c r="C30" t="s">
        <v>593</v>
      </c>
      <c r="D30" t="str">
        <f t="shared" si="1"/>
        <v>Aportaciones de socios o propietarios</v>
      </c>
    </row>
    <row r="31" spans="2:4" x14ac:dyDescent="0.25">
      <c r="B31" t="s">
        <v>26</v>
      </c>
      <c r="C31" t="s">
        <v>594</v>
      </c>
      <c r="D31" t="str">
        <f t="shared" si="1"/>
        <v>Diferencias por ajuste del capital a euros</v>
      </c>
    </row>
    <row r="32" spans="2:4" x14ac:dyDescent="0.25">
      <c r="B32" t="s">
        <v>27</v>
      </c>
      <c r="C32" t="s">
        <v>595</v>
      </c>
      <c r="D32" t="str">
        <f t="shared" si="1"/>
        <v>RESULTADOS PENDIENTES DE APLICACIÓN</v>
      </c>
    </row>
    <row r="33" spans="2:4" x14ac:dyDescent="0.25">
      <c r="B33" t="s">
        <v>28</v>
      </c>
      <c r="C33" t="s">
        <v>596</v>
      </c>
      <c r="D33" t="str">
        <f t="shared" si="1"/>
        <v>Remanente</v>
      </c>
    </row>
    <row r="34" spans="2:4" x14ac:dyDescent="0.25">
      <c r="B34" t="s">
        <v>29</v>
      </c>
      <c r="C34" t="s">
        <v>597</v>
      </c>
      <c r="D34" t="str">
        <f t="shared" si="1"/>
        <v>Resultados negativos de ejercicios anteriores</v>
      </c>
    </row>
    <row r="35" spans="2:4" x14ac:dyDescent="0.25">
      <c r="B35" t="s">
        <v>30</v>
      </c>
      <c r="C35" t="s">
        <v>598</v>
      </c>
      <c r="D35" t="str">
        <f t="shared" si="1"/>
        <v>Resultado del ejercicio</v>
      </c>
    </row>
    <row r="36" spans="2:4" x14ac:dyDescent="0.25">
      <c r="B36" t="s">
        <v>566</v>
      </c>
      <c r="C36" t="s">
        <v>599</v>
      </c>
      <c r="D36" t="str">
        <f t="shared" si="1"/>
        <v>SUBVENCIONES, DONACIONES, LEGADOS Y OTROS AJUSTES EN PATRIMONIO NETO</v>
      </c>
    </row>
    <row r="37" spans="2:4" x14ac:dyDescent="0.25">
      <c r="B37" t="s">
        <v>31</v>
      </c>
      <c r="C37" t="s">
        <v>600</v>
      </c>
      <c r="D37" t="str">
        <f t="shared" si="1"/>
        <v>Subvenciones oficiales de capital</v>
      </c>
    </row>
    <row r="38" spans="2:4" x14ac:dyDescent="0.25">
      <c r="B38" t="s">
        <v>32</v>
      </c>
      <c r="C38" t="s">
        <v>601</v>
      </c>
      <c r="D38" t="str">
        <f t="shared" si="1"/>
        <v>Donaciones y legados de capital</v>
      </c>
    </row>
    <row r="39" spans="2:4" x14ac:dyDescent="0.25">
      <c r="B39" t="s">
        <v>33</v>
      </c>
      <c r="C39" t="s">
        <v>602</v>
      </c>
      <c r="D39" t="str">
        <f t="shared" si="1"/>
        <v>Otras subvenciones, donaciones y legados</v>
      </c>
    </row>
    <row r="40" spans="2:4" x14ac:dyDescent="0.25">
      <c r="B40" t="s">
        <v>34</v>
      </c>
      <c r="C40" t="s">
        <v>603</v>
      </c>
      <c r="D40" t="str">
        <f t="shared" si="1"/>
        <v>Ingresos fiscales a distribuir en varios ejercicios</v>
      </c>
    </row>
    <row r="41" spans="2:4" x14ac:dyDescent="0.25">
      <c r="B41" t="s">
        <v>567</v>
      </c>
      <c r="C41" t="s">
        <v>604</v>
      </c>
      <c r="D41" t="str">
        <f t="shared" si="1"/>
        <v>Ingresos fiscales por diferencias permanentes a distribuir en varios ejercicios</v>
      </c>
    </row>
    <row r="42" spans="2:4" x14ac:dyDescent="0.25">
      <c r="B42" t="s">
        <v>568</v>
      </c>
      <c r="C42" t="s">
        <v>605</v>
      </c>
      <c r="D42" t="str">
        <f t="shared" si="1"/>
        <v>Ingresos fiscales por deducciones y bonificaciones a distribuir en varios ejercicios</v>
      </c>
    </row>
    <row r="43" spans="2:4" x14ac:dyDescent="0.25">
      <c r="B43" t="s">
        <v>35</v>
      </c>
      <c r="C43" t="s">
        <v>606</v>
      </c>
      <c r="D43" t="str">
        <f t="shared" si="1"/>
        <v>PROVISIONES</v>
      </c>
    </row>
    <row r="44" spans="2:4" x14ac:dyDescent="0.25">
      <c r="B44" t="s">
        <v>36</v>
      </c>
      <c r="C44" t="s">
        <v>607</v>
      </c>
      <c r="D44" t="str">
        <f t="shared" si="1"/>
        <v>Provisión para impuestos</v>
      </c>
    </row>
    <row r="45" spans="2:4" x14ac:dyDescent="0.25">
      <c r="B45" t="s">
        <v>37</v>
      </c>
      <c r="C45" t="s">
        <v>608</v>
      </c>
      <c r="D45" t="str">
        <f t="shared" si="1"/>
        <v>Provisión para otras responsabilidades</v>
      </c>
    </row>
    <row r="46" spans="2:4" x14ac:dyDescent="0.25">
      <c r="B46" t="s">
        <v>569</v>
      </c>
      <c r="C46" t="s">
        <v>609</v>
      </c>
      <c r="D46" t="str">
        <f t="shared" si="1"/>
        <v>Provisión por desmantelamiento, retiro o rehabilitación del inmovilizado</v>
      </c>
    </row>
    <row r="47" spans="2:4" x14ac:dyDescent="0.25">
      <c r="B47" t="s">
        <v>38</v>
      </c>
      <c r="C47" t="s">
        <v>610</v>
      </c>
      <c r="D47" t="str">
        <f t="shared" si="1"/>
        <v>Provisión para actuaciones medioambientales</v>
      </c>
    </row>
    <row r="48" spans="2:4" x14ac:dyDescent="0.25">
      <c r="B48" t="s">
        <v>39</v>
      </c>
      <c r="C48" t="s">
        <v>611</v>
      </c>
      <c r="D48" t="str">
        <f t="shared" si="1"/>
        <v>DEUDAS A LARGO PLAZO CON CARACTERÍSTICAS ESPECIALES</v>
      </c>
    </row>
    <row r="49" spans="2:4" x14ac:dyDescent="0.25">
      <c r="B49" t="s">
        <v>612</v>
      </c>
      <c r="C49" t="s">
        <v>613</v>
      </c>
      <c r="D49" t="str">
        <f t="shared" si="1"/>
        <v>Acciones o participaciones a largo plazo consideradas como pasivos financieros</v>
      </c>
    </row>
    <row r="50" spans="2:4" x14ac:dyDescent="0.25">
      <c r="B50" t="s">
        <v>614</v>
      </c>
      <c r="C50" t="s">
        <v>615</v>
      </c>
      <c r="D50" t="str">
        <f t="shared" si="1"/>
        <v>Desembolsos no exigidos por acciones o participaciones consideradas como pasivos financieros</v>
      </c>
    </row>
    <row r="51" spans="2:4" x14ac:dyDescent="0.25">
      <c r="B51" t="s">
        <v>616</v>
      </c>
      <c r="C51" t="s">
        <v>617</v>
      </c>
      <c r="D51" t="str">
        <f t="shared" si="1"/>
        <v>Desembolsos no exigidos, empresas del grupo</v>
      </c>
    </row>
    <row r="52" spans="2:4" x14ac:dyDescent="0.25">
      <c r="B52" t="s">
        <v>618</v>
      </c>
      <c r="C52" t="s">
        <v>619</v>
      </c>
      <c r="D52" t="str">
        <f t="shared" si="1"/>
        <v>Desembolsos no exigidos, empresas asociadas</v>
      </c>
    </row>
    <row r="53" spans="2:4" x14ac:dyDescent="0.25">
      <c r="B53" t="s">
        <v>40</v>
      </c>
      <c r="C53" t="s">
        <v>620</v>
      </c>
      <c r="D53" t="str">
        <f t="shared" si="1"/>
        <v>Desembolsos no exigidos, otras partes vinculadas</v>
      </c>
    </row>
    <row r="54" spans="2:4" x14ac:dyDescent="0.25">
      <c r="B54" t="s">
        <v>41</v>
      </c>
      <c r="C54" t="s">
        <v>621</v>
      </c>
      <c r="D54" t="str">
        <f t="shared" si="1"/>
        <v>Otros desembolsos no exigidos</v>
      </c>
    </row>
    <row r="55" spans="2:4" x14ac:dyDescent="0.25">
      <c r="B55" t="s">
        <v>622</v>
      </c>
      <c r="C55" t="s">
        <v>623</v>
      </c>
      <c r="D55" t="str">
        <f t="shared" si="1"/>
        <v>Aportaciones no dinerarias pendientes por acciones o participaciones consideradas como pasivos financieros</v>
      </c>
    </row>
    <row r="56" spans="2:4" x14ac:dyDescent="0.25">
      <c r="B56" t="s">
        <v>1549</v>
      </c>
      <c r="C56" t="s">
        <v>624</v>
      </c>
      <c r="D56" t="str">
        <f t="shared" si="1"/>
        <v xml:space="preserve">Aportaciones no dinerarias pendientes, empresas del grupo </v>
      </c>
    </row>
    <row r="57" spans="2:4" x14ac:dyDescent="0.25">
      <c r="B57" t="s">
        <v>1550</v>
      </c>
      <c r="C57" s="3" t="s">
        <v>1551</v>
      </c>
      <c r="D57" t="str">
        <f t="shared" si="1"/>
        <v>Aportaciones no dinerarias pendientes, empresas asociadas</v>
      </c>
    </row>
    <row r="58" spans="2:4" x14ac:dyDescent="0.25">
      <c r="B58" t="s">
        <v>42</v>
      </c>
      <c r="C58" t="s">
        <v>625</v>
      </c>
      <c r="D58" t="str">
        <f t="shared" si="1"/>
        <v>Aportaciones no dinerarias pendientes, otras partes vinculadas</v>
      </c>
    </row>
    <row r="59" spans="2:4" x14ac:dyDescent="0.25">
      <c r="B59" t="s">
        <v>43</v>
      </c>
      <c r="C59" t="s">
        <v>626</v>
      </c>
      <c r="D59" t="str">
        <f t="shared" si="1"/>
        <v>Otras aportaciones no dinerarias pendientes</v>
      </c>
    </row>
    <row r="60" spans="2:4" x14ac:dyDescent="0.25">
      <c r="B60" t="s">
        <v>44</v>
      </c>
      <c r="C60" t="s">
        <v>627</v>
      </c>
      <c r="D60" t="str">
        <f t="shared" si="1"/>
        <v>DEUDAS A LARGO PLAZO CON PARTES VINCULADAS</v>
      </c>
    </row>
    <row r="61" spans="2:4" x14ac:dyDescent="0.25">
      <c r="B61" t="s">
        <v>45</v>
      </c>
      <c r="C61" t="s">
        <v>628</v>
      </c>
      <c r="D61" t="str">
        <f t="shared" si="1"/>
        <v>Deudas a largo plazo con entidades de crédito vinculadas</v>
      </c>
    </row>
    <row r="62" spans="2:4" x14ac:dyDescent="0.25">
      <c r="B62" t="s">
        <v>629</v>
      </c>
      <c r="C62" t="s">
        <v>630</v>
      </c>
      <c r="D62" t="str">
        <f t="shared" si="1"/>
        <v>Deudas a largo plazo con entidades de crédito, empresas del grupo</v>
      </c>
    </row>
    <row r="63" spans="2:4" x14ac:dyDescent="0.25">
      <c r="B63" t="s">
        <v>631</v>
      </c>
      <c r="C63" t="s">
        <v>632</v>
      </c>
      <c r="D63" t="str">
        <f t="shared" si="1"/>
        <v>Deudas a largo plazo con entidades de crédito, empresas asociadas</v>
      </c>
    </row>
    <row r="64" spans="2:4" x14ac:dyDescent="0.25">
      <c r="B64" t="s">
        <v>46</v>
      </c>
      <c r="C64" t="s">
        <v>633</v>
      </c>
      <c r="D64" t="str">
        <f t="shared" si="1"/>
        <v>Deudas a largo plazo con otras entidades de crédito vinculadas</v>
      </c>
    </row>
    <row r="65" spans="2:4" x14ac:dyDescent="0.25">
      <c r="B65" t="s">
        <v>47</v>
      </c>
      <c r="C65" t="s">
        <v>634</v>
      </c>
      <c r="D65" t="str">
        <f t="shared" si="1"/>
        <v>Proveedores de inmovilizado a largo plazo, partes vinculadas</v>
      </c>
    </row>
    <row r="66" spans="2:4" x14ac:dyDescent="0.25">
      <c r="B66" t="s">
        <v>48</v>
      </c>
      <c r="C66" t="s">
        <v>635</v>
      </c>
      <c r="D66" t="str">
        <f t="shared" si="1"/>
        <v>Proveedores de inmovilizado a largo plazo, empresas del grupo</v>
      </c>
    </row>
    <row r="67" spans="2:4" x14ac:dyDescent="0.25">
      <c r="B67" t="s">
        <v>49</v>
      </c>
      <c r="C67" t="s">
        <v>636</v>
      </c>
      <c r="D67" t="str">
        <f t="shared" si="1"/>
        <v>Proveedores de inmovilizado a largo plazo, empresas asociadas</v>
      </c>
    </row>
    <row r="68" spans="2:4" x14ac:dyDescent="0.25">
      <c r="B68" t="s">
        <v>50</v>
      </c>
      <c r="C68" t="s">
        <v>637</v>
      </c>
      <c r="D68" t="str">
        <f t="shared" si="1"/>
        <v>Proveedores de inmovilizado a largo plazo, otras partes vinculadas</v>
      </c>
    </row>
    <row r="69" spans="2:4" x14ac:dyDescent="0.25">
      <c r="B69" t="s">
        <v>638</v>
      </c>
      <c r="C69" t="s">
        <v>639</v>
      </c>
      <c r="D69" t="str">
        <f t="shared" si="1"/>
        <v>Acreedores por arrendamiento financiero a largo plazo, partes vinculadas</v>
      </c>
    </row>
    <row r="70" spans="2:4" x14ac:dyDescent="0.25">
      <c r="B70" t="s">
        <v>640</v>
      </c>
      <c r="C70" t="s">
        <v>641</v>
      </c>
      <c r="D70" t="str">
        <f t="shared" si="1"/>
        <v>Acreedores por arrendamiento financiero a largo plazo, empresas de grupo</v>
      </c>
    </row>
    <row r="71" spans="2:4" x14ac:dyDescent="0.25">
      <c r="B71" t="s">
        <v>642</v>
      </c>
      <c r="C71" t="s">
        <v>643</v>
      </c>
      <c r="D71" t="str">
        <f t="shared" si="1"/>
        <v>Acreedores por arrendamiento financiero a largo plazo, empresas asociadas</v>
      </c>
    </row>
    <row r="72" spans="2:4" x14ac:dyDescent="0.25">
      <c r="B72" t="s">
        <v>1552</v>
      </c>
      <c r="C72" t="s">
        <v>644</v>
      </c>
      <c r="D72" t="str">
        <f t="shared" si="1"/>
        <v>Acreedores por arrendamiento financiero a largo plazo, otras partes vinculadas</v>
      </c>
    </row>
    <row r="73" spans="2:4" x14ac:dyDescent="0.25">
      <c r="B73" t="s">
        <v>52</v>
      </c>
      <c r="C73" t="s">
        <v>645</v>
      </c>
      <c r="D73" t="str">
        <f t="shared" si="1"/>
        <v>Otras deudas a largo plazo con partes vinculadas</v>
      </c>
    </row>
    <row r="74" spans="2:4" x14ac:dyDescent="0.25">
      <c r="B74" t="s">
        <v>53</v>
      </c>
      <c r="C74" t="s">
        <v>646</v>
      </c>
      <c r="D74" t="str">
        <f t="shared" ref="D74:D137" si="2">MID(B74,FIND(".",B74)+2,LEN(B74))</f>
        <v>Otras deudas a largo plazo, empresas del grupo</v>
      </c>
    </row>
    <row r="75" spans="2:4" x14ac:dyDescent="0.25">
      <c r="B75" t="s">
        <v>54</v>
      </c>
      <c r="C75" t="s">
        <v>647</v>
      </c>
      <c r="D75" t="str">
        <f t="shared" si="2"/>
        <v>Otras deudas a largo plazo, empresas asociadas</v>
      </c>
    </row>
    <row r="76" spans="2:4" x14ac:dyDescent="0.25">
      <c r="B76" t="s">
        <v>55</v>
      </c>
      <c r="C76" t="s">
        <v>648</v>
      </c>
      <c r="D76" t="str">
        <f t="shared" si="2"/>
        <v>Otras deudas a largo plazo, con otras partes vinculadas</v>
      </c>
    </row>
    <row r="77" spans="2:4" x14ac:dyDescent="0.25">
      <c r="B77" t="s">
        <v>649</v>
      </c>
      <c r="C77" t="s">
        <v>650</v>
      </c>
      <c r="D77" t="str">
        <f t="shared" si="2"/>
        <v>DEUDAS A LARGO PLAZO POR PRÉSTAMOS RECIBIDOS, EMPRÉSTITOS Y OTROS CONCEPTOS</v>
      </c>
    </row>
    <row r="78" spans="2:4" x14ac:dyDescent="0.25">
      <c r="B78" t="s">
        <v>56</v>
      </c>
      <c r="C78" t="s">
        <v>651</v>
      </c>
      <c r="D78" t="str">
        <f t="shared" si="2"/>
        <v>Deudas a largo plazo con entidades de crédito</v>
      </c>
    </row>
    <row r="79" spans="2:4" x14ac:dyDescent="0.25">
      <c r="B79" t="s">
        <v>57</v>
      </c>
      <c r="C79" t="s">
        <v>652</v>
      </c>
      <c r="D79" t="str">
        <f t="shared" si="2"/>
        <v>Deudas a largo plazo</v>
      </c>
    </row>
    <row r="80" spans="2:4" x14ac:dyDescent="0.25">
      <c r="B80" t="s">
        <v>653</v>
      </c>
      <c r="C80" t="s">
        <v>654</v>
      </c>
      <c r="D80" t="str">
        <f t="shared" si="2"/>
        <v>Deudas a largo plazo transformables en subvenciones, donaciones</v>
      </c>
    </row>
    <row r="81" spans="2:4" x14ac:dyDescent="0.25">
      <c r="B81" t="s">
        <v>58</v>
      </c>
      <c r="C81" t="s">
        <v>655</v>
      </c>
      <c r="D81" t="str">
        <f t="shared" si="2"/>
        <v>Proveedores de inmovilizado a largo plazo</v>
      </c>
    </row>
    <row r="82" spans="2:4" x14ac:dyDescent="0.25">
      <c r="B82" t="s">
        <v>59</v>
      </c>
      <c r="C82" t="s">
        <v>656</v>
      </c>
      <c r="D82" t="str">
        <f t="shared" si="2"/>
        <v>Acreedores por arrendamiento financiero a largo plazo</v>
      </c>
    </row>
    <row r="83" spans="2:4" x14ac:dyDescent="0.25">
      <c r="B83" t="s">
        <v>60</v>
      </c>
      <c r="C83" t="s">
        <v>657</v>
      </c>
      <c r="D83" t="str">
        <f t="shared" si="2"/>
        <v>Efectos a pagar a largo plazo</v>
      </c>
    </row>
    <row r="84" spans="2:4" x14ac:dyDescent="0.25">
      <c r="B84" t="s">
        <v>61</v>
      </c>
      <c r="C84" t="s">
        <v>658</v>
      </c>
      <c r="D84" t="str">
        <f t="shared" si="2"/>
        <v>Pasivos por derivados financieros a largo plazo</v>
      </c>
    </row>
    <row r="85" spans="2:4" x14ac:dyDescent="0.25">
      <c r="B85" t="s">
        <v>62</v>
      </c>
      <c r="C85" t="s">
        <v>659</v>
      </c>
      <c r="D85" t="str">
        <f t="shared" si="2"/>
        <v>Obligaciones y bonos</v>
      </c>
    </row>
    <row r="86" spans="2:4" x14ac:dyDescent="0.25">
      <c r="B86" t="s">
        <v>63</v>
      </c>
      <c r="C86" t="s">
        <v>660</v>
      </c>
      <c r="D86" t="str">
        <f t="shared" si="2"/>
        <v>Deudas representadas en otros valores negociables</v>
      </c>
    </row>
    <row r="87" spans="2:4" x14ac:dyDescent="0.25">
      <c r="B87" t="s">
        <v>661</v>
      </c>
      <c r="C87" t="s">
        <v>662</v>
      </c>
      <c r="D87" t="str">
        <f t="shared" si="2"/>
        <v>PASIVOS POR FIANZAS, GARANTÍAS Y OTROS CONCEPTOS A LARGO PLAZO</v>
      </c>
    </row>
    <row r="88" spans="2:4" x14ac:dyDescent="0.25">
      <c r="B88" t="s">
        <v>64</v>
      </c>
      <c r="C88" t="s">
        <v>663</v>
      </c>
      <c r="D88" t="str">
        <f t="shared" si="2"/>
        <v>Fianzas recibidas a largo plazo</v>
      </c>
    </row>
    <row r="89" spans="2:4" x14ac:dyDescent="0.25">
      <c r="B89" t="s">
        <v>664</v>
      </c>
      <c r="C89" t="s">
        <v>665</v>
      </c>
      <c r="D89" t="str">
        <f t="shared" si="2"/>
        <v>Anticipos recibidos por ventas o prestaciones de servicios a largo plazo</v>
      </c>
    </row>
    <row r="90" spans="2:4" x14ac:dyDescent="0.25">
      <c r="B90" t="s">
        <v>65</v>
      </c>
      <c r="C90" t="s">
        <v>666</v>
      </c>
      <c r="D90" t="str">
        <f t="shared" si="2"/>
        <v>Depósitos recibidos a largo plazo</v>
      </c>
    </row>
    <row r="91" spans="2:4" x14ac:dyDescent="0.25">
      <c r="B91" t="s">
        <v>66</v>
      </c>
      <c r="C91" t="s">
        <v>667</v>
      </c>
      <c r="D91" t="str">
        <f t="shared" si="2"/>
        <v>SITUACIONES TRANSITORIAS DE FINANCIACIÓN</v>
      </c>
    </row>
    <row r="92" spans="2:4" x14ac:dyDescent="0.25">
      <c r="B92" t="s">
        <v>67</v>
      </c>
      <c r="C92" t="s">
        <v>668</v>
      </c>
      <c r="D92" t="str">
        <f t="shared" si="2"/>
        <v>Acciones o participaciones emitidas</v>
      </c>
    </row>
    <row r="93" spans="2:4" x14ac:dyDescent="0.25">
      <c r="B93" t="s">
        <v>68</v>
      </c>
      <c r="C93" t="s">
        <v>669</v>
      </c>
      <c r="D93" t="str">
        <f t="shared" si="2"/>
        <v>Suscriptores de acciones</v>
      </c>
    </row>
    <row r="94" spans="2:4" x14ac:dyDescent="0.25">
      <c r="B94" t="s">
        <v>69</v>
      </c>
      <c r="C94" t="s">
        <v>670</v>
      </c>
      <c r="D94" t="str">
        <f t="shared" si="2"/>
        <v>Capital emitido pendiente de inscripción</v>
      </c>
    </row>
    <row r="95" spans="2:4" x14ac:dyDescent="0.25">
      <c r="B95" t="s">
        <v>671</v>
      </c>
      <c r="C95" t="s">
        <v>672</v>
      </c>
      <c r="D95" t="str">
        <f t="shared" si="2"/>
        <v>Acciones o participaciones emitidas consideradas como pasivos financieros</v>
      </c>
    </row>
    <row r="96" spans="2:4" x14ac:dyDescent="0.25">
      <c r="B96" t="s">
        <v>70</v>
      </c>
      <c r="C96" t="s">
        <v>673</v>
      </c>
      <c r="D96" t="str">
        <f t="shared" si="2"/>
        <v>S uscriptores de acciones consideradas como pasivos financieros</v>
      </c>
    </row>
    <row r="97" spans="2:4" x14ac:dyDescent="0.25">
      <c r="B97" t="s">
        <v>674</v>
      </c>
      <c r="C97" t="s">
        <v>675</v>
      </c>
      <c r="D97" t="str">
        <f t="shared" si="2"/>
        <v>Acciones o participaciones emitidas consideradas como pasivos financieros pendientes de inscripción</v>
      </c>
    </row>
    <row r="98" spans="2:4" x14ac:dyDescent="0.25">
      <c r="B98" t="s">
        <v>71</v>
      </c>
      <c r="C98" t="s">
        <v>676</v>
      </c>
      <c r="D98" t="str">
        <f t="shared" si="2"/>
        <v>INMOVILIZACIONES INTANGIBLES</v>
      </c>
    </row>
    <row r="99" spans="2:4" x14ac:dyDescent="0.25">
      <c r="B99" t="s">
        <v>72</v>
      </c>
      <c r="C99" t="s">
        <v>677</v>
      </c>
      <c r="D99" t="str">
        <f t="shared" si="2"/>
        <v>Investigación</v>
      </c>
    </row>
    <row r="100" spans="2:4" x14ac:dyDescent="0.25">
      <c r="B100" t="s">
        <v>73</v>
      </c>
      <c r="C100" t="s">
        <v>678</v>
      </c>
      <c r="D100" t="str">
        <f t="shared" si="2"/>
        <v>Desarrollo</v>
      </c>
    </row>
    <row r="101" spans="2:4" x14ac:dyDescent="0.25">
      <c r="B101" t="s">
        <v>74</v>
      </c>
      <c r="C101" t="s">
        <v>679</v>
      </c>
      <c r="D101" t="str">
        <f t="shared" si="2"/>
        <v>Concesiones administrativas</v>
      </c>
    </row>
    <row r="102" spans="2:4" x14ac:dyDescent="0.25">
      <c r="B102" t="s">
        <v>75</v>
      </c>
      <c r="C102" t="s">
        <v>680</v>
      </c>
      <c r="D102" t="str">
        <f t="shared" si="2"/>
        <v>Propiedad industrial</v>
      </c>
    </row>
    <row r="103" spans="2:4" x14ac:dyDescent="0.25">
      <c r="B103" t="s">
        <v>76</v>
      </c>
      <c r="C103" t="s">
        <v>681</v>
      </c>
      <c r="D103" t="str">
        <f t="shared" si="2"/>
        <v>Derechos de traspaso</v>
      </c>
    </row>
    <row r="104" spans="2:4" x14ac:dyDescent="0.25">
      <c r="B104" t="s">
        <v>77</v>
      </c>
      <c r="C104" t="s">
        <v>682</v>
      </c>
      <c r="D104" t="str">
        <f t="shared" si="2"/>
        <v>Aplicaciones informáticas</v>
      </c>
    </row>
    <row r="105" spans="2:4" x14ac:dyDescent="0.25">
      <c r="B105" t="s">
        <v>78</v>
      </c>
      <c r="C105" t="s">
        <v>683</v>
      </c>
      <c r="D105" t="str">
        <f t="shared" si="2"/>
        <v>Anticipos para inmovilizaciones intangibles</v>
      </c>
    </row>
    <row r="106" spans="2:4" x14ac:dyDescent="0.25">
      <c r="B106" t="s">
        <v>79</v>
      </c>
      <c r="C106" t="s">
        <v>684</v>
      </c>
      <c r="D106" t="str">
        <f t="shared" si="2"/>
        <v>INMOVILIZACIONES MATERIALES</v>
      </c>
    </row>
    <row r="107" spans="2:4" x14ac:dyDescent="0.25">
      <c r="B107" t="s">
        <v>80</v>
      </c>
      <c r="C107" t="s">
        <v>685</v>
      </c>
      <c r="D107" t="str">
        <f t="shared" si="2"/>
        <v>Terrenos y bienes naturales</v>
      </c>
    </row>
    <row r="108" spans="2:4" x14ac:dyDescent="0.25">
      <c r="B108" t="s">
        <v>81</v>
      </c>
      <c r="C108" t="s">
        <v>686</v>
      </c>
      <c r="D108" t="str">
        <f t="shared" si="2"/>
        <v>Construcciones</v>
      </c>
    </row>
    <row r="109" spans="2:4" x14ac:dyDescent="0.25">
      <c r="B109" t="s">
        <v>82</v>
      </c>
      <c r="C109" t="s">
        <v>687</v>
      </c>
      <c r="D109" t="str">
        <f t="shared" si="2"/>
        <v>Instalaciones técnicas</v>
      </c>
    </row>
    <row r="110" spans="2:4" x14ac:dyDescent="0.25">
      <c r="B110" t="s">
        <v>83</v>
      </c>
      <c r="C110" t="s">
        <v>688</v>
      </c>
      <c r="D110" t="str">
        <f t="shared" si="2"/>
        <v>Maquinaria</v>
      </c>
    </row>
    <row r="111" spans="2:4" x14ac:dyDescent="0.25">
      <c r="B111" t="s">
        <v>84</v>
      </c>
      <c r="C111" t="s">
        <v>689</v>
      </c>
      <c r="D111" t="str">
        <f t="shared" si="2"/>
        <v>Utillaje</v>
      </c>
    </row>
    <row r="112" spans="2:4" x14ac:dyDescent="0.25">
      <c r="B112" t="s">
        <v>85</v>
      </c>
      <c r="C112" t="s">
        <v>690</v>
      </c>
      <c r="D112" t="str">
        <f t="shared" si="2"/>
        <v>Otras instalaciones</v>
      </c>
    </row>
    <row r="113" spans="2:4" x14ac:dyDescent="0.25">
      <c r="B113" t="s">
        <v>86</v>
      </c>
      <c r="C113" t="s">
        <v>691</v>
      </c>
      <c r="D113" t="str">
        <f t="shared" si="2"/>
        <v>Mobiliario</v>
      </c>
    </row>
    <row r="114" spans="2:4" x14ac:dyDescent="0.25">
      <c r="B114" t="s">
        <v>87</v>
      </c>
      <c r="C114" t="s">
        <v>692</v>
      </c>
      <c r="D114" t="str">
        <f t="shared" si="2"/>
        <v>Equipos para procesos de información</v>
      </c>
    </row>
    <row r="115" spans="2:4" x14ac:dyDescent="0.25">
      <c r="B115" t="s">
        <v>88</v>
      </c>
      <c r="C115" t="s">
        <v>693</v>
      </c>
      <c r="D115" t="str">
        <f t="shared" si="2"/>
        <v>Elementos de transporte</v>
      </c>
    </row>
    <row r="116" spans="2:4" x14ac:dyDescent="0.25">
      <c r="B116" t="s">
        <v>89</v>
      </c>
      <c r="C116" t="s">
        <v>694</v>
      </c>
      <c r="D116" t="str">
        <f t="shared" si="2"/>
        <v>Otro inmovilizado material</v>
      </c>
    </row>
    <row r="117" spans="2:4" x14ac:dyDescent="0.25">
      <c r="B117" t="s">
        <v>90</v>
      </c>
      <c r="C117" t="s">
        <v>695</v>
      </c>
      <c r="D117" t="str">
        <f t="shared" si="2"/>
        <v>INVERSIONES INMOBILIARIAS</v>
      </c>
    </row>
    <row r="118" spans="2:4" x14ac:dyDescent="0.25">
      <c r="B118" t="s">
        <v>91</v>
      </c>
      <c r="C118" t="s">
        <v>696</v>
      </c>
      <c r="D118" t="str">
        <f t="shared" si="2"/>
        <v>Inversiones en terrenos y bienes naturales</v>
      </c>
    </row>
    <row r="119" spans="2:4" x14ac:dyDescent="0.25">
      <c r="B119" t="s">
        <v>92</v>
      </c>
      <c r="C119" t="s">
        <v>697</v>
      </c>
      <c r="D119" t="str">
        <f t="shared" si="2"/>
        <v>Inversiones en construcciones</v>
      </c>
    </row>
    <row r="120" spans="2:4" x14ac:dyDescent="0.25">
      <c r="B120" t="s">
        <v>93</v>
      </c>
      <c r="C120" t="s">
        <v>698</v>
      </c>
      <c r="D120" t="str">
        <f t="shared" si="2"/>
        <v>INMOVILIZACIONES MATERIALES EN CURSO</v>
      </c>
    </row>
    <row r="121" spans="2:4" x14ac:dyDescent="0.25">
      <c r="B121" t="s">
        <v>94</v>
      </c>
      <c r="C121" t="s">
        <v>699</v>
      </c>
      <c r="D121" t="str">
        <f t="shared" si="2"/>
        <v>Adaptación de terrenos y bienes naturales</v>
      </c>
    </row>
    <row r="122" spans="2:4" x14ac:dyDescent="0.25">
      <c r="B122" t="s">
        <v>95</v>
      </c>
      <c r="C122" t="s">
        <v>700</v>
      </c>
      <c r="D122" t="str">
        <f t="shared" si="2"/>
        <v>Construcciones en curso</v>
      </c>
    </row>
    <row r="123" spans="2:4" x14ac:dyDescent="0.25">
      <c r="B123" t="s">
        <v>96</v>
      </c>
      <c r="C123" t="s">
        <v>701</v>
      </c>
      <c r="D123" t="str">
        <f t="shared" si="2"/>
        <v>Instalaciones técnicas en montaje</v>
      </c>
    </row>
    <row r="124" spans="2:4" x14ac:dyDescent="0.25">
      <c r="B124" t="s">
        <v>97</v>
      </c>
      <c r="C124" t="s">
        <v>702</v>
      </c>
      <c r="D124" t="str">
        <f t="shared" si="2"/>
        <v>Maquinaria en montaje</v>
      </c>
    </row>
    <row r="125" spans="2:4" x14ac:dyDescent="0.25">
      <c r="B125" t="s">
        <v>98</v>
      </c>
      <c r="C125" t="s">
        <v>703</v>
      </c>
      <c r="D125" t="str">
        <f t="shared" si="2"/>
        <v>Equipos para procesos de información en montaje</v>
      </c>
    </row>
    <row r="126" spans="2:4" x14ac:dyDescent="0.25">
      <c r="B126" t="s">
        <v>99</v>
      </c>
      <c r="C126" t="s">
        <v>704</v>
      </c>
      <c r="D126" t="str">
        <f t="shared" si="2"/>
        <v>Anticipos para inmovilizaciones materiales</v>
      </c>
    </row>
    <row r="127" spans="2:4" x14ac:dyDescent="0.25">
      <c r="B127" t="s">
        <v>100</v>
      </c>
      <c r="C127" t="s">
        <v>705</v>
      </c>
      <c r="D127" t="str">
        <f t="shared" si="2"/>
        <v>INVERSIONES FINANCIERAS A LARGO PLAZO EN PARTES VINCULADAS</v>
      </c>
    </row>
    <row r="128" spans="2:4" x14ac:dyDescent="0.25">
      <c r="B128" t="s">
        <v>101</v>
      </c>
      <c r="C128" t="s">
        <v>706</v>
      </c>
      <c r="D128" t="str">
        <f t="shared" si="2"/>
        <v>Participaciones a largo plazo en partes vinculadas</v>
      </c>
    </row>
    <row r="129" spans="2:4" x14ac:dyDescent="0.25">
      <c r="B129" t="s">
        <v>102</v>
      </c>
      <c r="C129" t="s">
        <v>707</v>
      </c>
      <c r="D129" t="str">
        <f t="shared" si="2"/>
        <v>Participaciones a largo plazo en empresas del grupo</v>
      </c>
    </row>
    <row r="130" spans="2:4" x14ac:dyDescent="0.25">
      <c r="B130" t="s">
        <v>103</v>
      </c>
      <c r="C130" t="s">
        <v>708</v>
      </c>
      <c r="D130" t="str">
        <f t="shared" si="2"/>
        <v>Participaciones a largo plazo en empresas asociadas</v>
      </c>
    </row>
    <row r="131" spans="2:4" x14ac:dyDescent="0.25">
      <c r="B131" t="s">
        <v>104</v>
      </c>
      <c r="C131" t="s">
        <v>709</v>
      </c>
      <c r="D131" t="str">
        <f t="shared" si="2"/>
        <v>Participaciones a largo plazo en otras partes vinculadas</v>
      </c>
    </row>
    <row r="132" spans="2:4" x14ac:dyDescent="0.25">
      <c r="B132" t="s">
        <v>710</v>
      </c>
      <c r="C132" t="s">
        <v>711</v>
      </c>
      <c r="D132" t="str">
        <f t="shared" si="2"/>
        <v>Valores representativos de deuda a largo plazo de partes vinculadas</v>
      </c>
    </row>
    <row r="133" spans="2:4" x14ac:dyDescent="0.25">
      <c r="B133" t="s">
        <v>712</v>
      </c>
      <c r="C133" t="s">
        <v>713</v>
      </c>
      <c r="D133" t="str">
        <f t="shared" si="2"/>
        <v>Valores representativos de deuda a largo plazo de empresas del grupo</v>
      </c>
    </row>
    <row r="134" spans="2:4" x14ac:dyDescent="0.25">
      <c r="B134" t="s">
        <v>714</v>
      </c>
      <c r="C134" t="s">
        <v>715</v>
      </c>
      <c r="D134" t="str">
        <f t="shared" si="2"/>
        <v>Valores representativos de deuda a largo plazo de empresas asociadas</v>
      </c>
    </row>
    <row r="135" spans="2:4" x14ac:dyDescent="0.25">
      <c r="B135" t="s">
        <v>716</v>
      </c>
      <c r="C135" t="s">
        <v>717</v>
      </c>
      <c r="D135" t="str">
        <f t="shared" si="2"/>
        <v>Valores representativos de deuda a largo plazo de otras partes vinculadas</v>
      </c>
    </row>
    <row r="136" spans="2:4" x14ac:dyDescent="0.25">
      <c r="B136" t="s">
        <v>105</v>
      </c>
      <c r="C136" t="s">
        <v>718</v>
      </c>
      <c r="D136" t="str">
        <f t="shared" si="2"/>
        <v>Créditos a largo plazo a partes vinculadas</v>
      </c>
    </row>
    <row r="137" spans="2:4" x14ac:dyDescent="0.25">
      <c r="B137" t="s">
        <v>106</v>
      </c>
      <c r="C137" t="s">
        <v>719</v>
      </c>
      <c r="D137" t="str">
        <f t="shared" si="2"/>
        <v>Créditos a largo plazo a empresas del grupo</v>
      </c>
    </row>
    <row r="138" spans="2:4" x14ac:dyDescent="0.25">
      <c r="B138" t="s">
        <v>107</v>
      </c>
      <c r="C138" t="s">
        <v>720</v>
      </c>
      <c r="D138" t="str">
        <f t="shared" ref="D138:D201" si="3">MID(B138,FIND(".",B138)+2,LEN(B138))</f>
        <v>Créditos a largo plazoa empresas asociadas</v>
      </c>
    </row>
    <row r="139" spans="2:4" x14ac:dyDescent="0.25">
      <c r="B139" t="s">
        <v>108</v>
      </c>
      <c r="C139" t="s">
        <v>721</v>
      </c>
      <c r="D139" t="str">
        <f t="shared" si="3"/>
        <v>Créditos a largo plazo a otras partes vinculadas</v>
      </c>
    </row>
    <row r="140" spans="2:4" x14ac:dyDescent="0.25">
      <c r="B140" t="s">
        <v>722</v>
      </c>
      <c r="C140" t="s">
        <v>723</v>
      </c>
      <c r="D140" t="str">
        <f t="shared" si="3"/>
        <v>Desembolsos pendientes sobre participaciones a largo plazo en partes vinculadas</v>
      </c>
    </row>
    <row r="141" spans="2:4" x14ac:dyDescent="0.25">
      <c r="B141" t="s">
        <v>724</v>
      </c>
      <c r="C141" t="s">
        <v>725</v>
      </c>
      <c r="D141" t="str">
        <f t="shared" si="3"/>
        <v>Desembolsos pendientes sobre participaciones a largo plazo en empresas</v>
      </c>
    </row>
    <row r="142" spans="2:4" x14ac:dyDescent="0.25">
      <c r="B142" t="s">
        <v>726</v>
      </c>
      <c r="C142" t="s">
        <v>727</v>
      </c>
      <c r="D142" t="str">
        <f t="shared" si="3"/>
        <v>Desembolsos pendientes sobre participaciones a largo plazo en empresas asociadas</v>
      </c>
    </row>
    <row r="143" spans="2:4" x14ac:dyDescent="0.25">
      <c r="B143" t="s">
        <v>728</v>
      </c>
      <c r="C143" t="s">
        <v>729</v>
      </c>
      <c r="D143" t="str">
        <f t="shared" si="3"/>
        <v>Desembolsos pendientes sobre participaciones a largo plazo en otras partes vinculadas</v>
      </c>
    </row>
    <row r="144" spans="2:4" x14ac:dyDescent="0.25">
      <c r="B144" t="s">
        <v>109</v>
      </c>
      <c r="C144" t="s">
        <v>730</v>
      </c>
      <c r="D144" t="str">
        <f t="shared" si="3"/>
        <v>OTRAS INVERSIONES FINANCIERAS A LARGO PLAZO</v>
      </c>
    </row>
    <row r="145" spans="2:4" x14ac:dyDescent="0.25">
      <c r="B145" t="s">
        <v>731</v>
      </c>
      <c r="C145" t="s">
        <v>732</v>
      </c>
      <c r="D145" t="str">
        <f t="shared" si="3"/>
        <v>Inversiones financieras a largo plazo en instrumentos de patrimonio</v>
      </c>
    </row>
    <row r="146" spans="2:4" x14ac:dyDescent="0.25">
      <c r="B146" t="s">
        <v>110</v>
      </c>
      <c r="C146" t="s">
        <v>733</v>
      </c>
      <c r="D146" t="str">
        <f t="shared" si="3"/>
        <v>Valores representativos de deuda a largo plazo</v>
      </c>
    </row>
    <row r="147" spans="2:4" x14ac:dyDescent="0.25">
      <c r="B147" t="s">
        <v>111</v>
      </c>
      <c r="C147" t="s">
        <v>734</v>
      </c>
      <c r="D147" t="str">
        <f t="shared" si="3"/>
        <v>Créditos a largo plazo</v>
      </c>
    </row>
    <row r="148" spans="2:4" x14ac:dyDescent="0.25">
      <c r="B148" t="s">
        <v>112</v>
      </c>
      <c r="C148" t="s">
        <v>735</v>
      </c>
      <c r="D148" t="str">
        <f t="shared" si="3"/>
        <v>Créditos a largo plazo por enajenación de inmovilizado</v>
      </c>
    </row>
    <row r="149" spans="2:4" x14ac:dyDescent="0.25">
      <c r="B149" t="s">
        <v>113</v>
      </c>
      <c r="C149" t="s">
        <v>736</v>
      </c>
      <c r="D149" t="str">
        <f t="shared" si="3"/>
        <v>Créditos a largo plazo al personal</v>
      </c>
    </row>
    <row r="150" spans="2:4" x14ac:dyDescent="0.25">
      <c r="B150" t="s">
        <v>114</v>
      </c>
      <c r="C150" t="s">
        <v>737</v>
      </c>
      <c r="D150" t="str">
        <f t="shared" si="3"/>
        <v>Activos por derivados financieros a largo plazo</v>
      </c>
    </row>
    <row r="151" spans="2:4" x14ac:dyDescent="0.25">
      <c r="B151" t="s">
        <v>115</v>
      </c>
      <c r="C151" t="s">
        <v>738</v>
      </c>
      <c r="D151" t="str">
        <f t="shared" si="3"/>
        <v>Imposiciones a largo plazo</v>
      </c>
    </row>
    <row r="152" spans="2:4" x14ac:dyDescent="0.25">
      <c r="B152" t="s">
        <v>739</v>
      </c>
      <c r="C152" t="s">
        <v>740</v>
      </c>
      <c r="D152" t="str">
        <f t="shared" si="3"/>
        <v>Desembolsos pendientes sobre participaciones en el patrimonio neto a largo plazo</v>
      </c>
    </row>
    <row r="153" spans="2:4" x14ac:dyDescent="0.25">
      <c r="B153" t="s">
        <v>116</v>
      </c>
      <c r="C153" t="s">
        <v>741</v>
      </c>
      <c r="D153" t="str">
        <f t="shared" si="3"/>
        <v>FIANZAS Y DEPÓSITOS CONSTITUIDOS A LARGO PLAZO</v>
      </c>
    </row>
    <row r="154" spans="2:4" x14ac:dyDescent="0.25">
      <c r="B154" t="s">
        <v>117</v>
      </c>
      <c r="C154" t="s">
        <v>742</v>
      </c>
      <c r="D154" t="str">
        <f t="shared" si="3"/>
        <v>Fianzas constituidas a largo plazo</v>
      </c>
    </row>
    <row r="155" spans="2:4" x14ac:dyDescent="0.25">
      <c r="B155" t="s">
        <v>118</v>
      </c>
      <c r="C155" t="s">
        <v>743</v>
      </c>
      <c r="D155" t="str">
        <f t="shared" si="3"/>
        <v>Depósitos constituidos a largo plazo</v>
      </c>
    </row>
    <row r="156" spans="2:4" x14ac:dyDescent="0.25">
      <c r="B156" t="s">
        <v>119</v>
      </c>
      <c r="C156" t="s">
        <v>744</v>
      </c>
      <c r="D156" t="str">
        <f t="shared" si="3"/>
        <v>AMORTIZACIÓN ACUMULADA DEL INMOVILIZADO</v>
      </c>
    </row>
    <row r="157" spans="2:4" x14ac:dyDescent="0.25">
      <c r="B157" t="s">
        <v>120</v>
      </c>
      <c r="C157" t="s">
        <v>745</v>
      </c>
      <c r="D157" t="str">
        <f t="shared" si="3"/>
        <v>Amortización acumulada del inmovilizado intangible</v>
      </c>
    </row>
    <row r="158" spans="2:4" x14ac:dyDescent="0.25">
      <c r="B158" t="s">
        <v>121</v>
      </c>
      <c r="C158" t="s">
        <v>746</v>
      </c>
      <c r="D158" t="str">
        <f t="shared" si="3"/>
        <v>Amortización acumulada de investigación</v>
      </c>
    </row>
    <row r="159" spans="2:4" x14ac:dyDescent="0.25">
      <c r="B159" t="s">
        <v>122</v>
      </c>
      <c r="C159" t="s">
        <v>747</v>
      </c>
      <c r="D159" t="str">
        <f t="shared" si="3"/>
        <v>Amortización acumulada de desarrollo</v>
      </c>
    </row>
    <row r="160" spans="2:4" x14ac:dyDescent="0.25">
      <c r="B160" t="s">
        <v>123</v>
      </c>
      <c r="C160" t="s">
        <v>748</v>
      </c>
      <c r="D160" t="str">
        <f t="shared" si="3"/>
        <v>Amortización acumulada de concesiones administrativas</v>
      </c>
    </row>
    <row r="161" spans="2:4" x14ac:dyDescent="0.25">
      <c r="B161" t="s">
        <v>124</v>
      </c>
      <c r="C161" t="s">
        <v>749</v>
      </c>
      <c r="D161" t="str">
        <f t="shared" si="3"/>
        <v>Amortización acumulada de propiedad industrial</v>
      </c>
    </row>
    <row r="162" spans="2:4" x14ac:dyDescent="0.25">
      <c r="B162" t="s">
        <v>125</v>
      </c>
      <c r="C162" t="s">
        <v>750</v>
      </c>
      <c r="D162" t="str">
        <f t="shared" si="3"/>
        <v>Amortización acumulada de derechos de traspaso</v>
      </c>
    </row>
    <row r="163" spans="2:4" x14ac:dyDescent="0.25">
      <c r="B163" t="s">
        <v>126</v>
      </c>
      <c r="C163" t="s">
        <v>751</v>
      </c>
      <c r="D163" t="str">
        <f t="shared" si="3"/>
        <v>Amortización acumulada de aplicaciones informáticas</v>
      </c>
    </row>
    <row r="164" spans="2:4" x14ac:dyDescent="0.25">
      <c r="B164" t="s">
        <v>127</v>
      </c>
      <c r="C164" t="s">
        <v>752</v>
      </c>
      <c r="D164" t="str">
        <f t="shared" si="3"/>
        <v>Amortización acumulada del inmovilizado material</v>
      </c>
    </row>
    <row r="165" spans="2:4" x14ac:dyDescent="0.25">
      <c r="B165" t="s">
        <v>128</v>
      </c>
      <c r="C165" t="s">
        <v>753</v>
      </c>
      <c r="D165" t="str">
        <f t="shared" si="3"/>
        <v>Amortización acumulada de construcciones</v>
      </c>
    </row>
    <row r="166" spans="2:4" x14ac:dyDescent="0.25">
      <c r="B166" t="s">
        <v>129</v>
      </c>
      <c r="C166" t="s">
        <v>754</v>
      </c>
      <c r="D166" t="str">
        <f t="shared" si="3"/>
        <v>Amortización acumulada de instalaciones técnicas</v>
      </c>
    </row>
    <row r="167" spans="2:4" x14ac:dyDescent="0.25">
      <c r="B167" t="s">
        <v>130</v>
      </c>
      <c r="C167" t="s">
        <v>755</v>
      </c>
      <c r="D167" t="str">
        <f t="shared" si="3"/>
        <v>Amortización acumulada de maquinaria</v>
      </c>
    </row>
    <row r="168" spans="2:4" x14ac:dyDescent="0.25">
      <c r="B168" t="s">
        <v>131</v>
      </c>
      <c r="C168" t="s">
        <v>756</v>
      </c>
      <c r="D168" t="str">
        <f t="shared" si="3"/>
        <v>Amortización acumulada de utillaje</v>
      </c>
    </row>
    <row r="169" spans="2:4" x14ac:dyDescent="0.25">
      <c r="B169" t="s">
        <v>132</v>
      </c>
      <c r="C169" t="s">
        <v>757</v>
      </c>
      <c r="D169" t="str">
        <f t="shared" si="3"/>
        <v>Amortización acumulada de otras instalaciones</v>
      </c>
    </row>
    <row r="170" spans="2:4" x14ac:dyDescent="0.25">
      <c r="B170" t="s">
        <v>133</v>
      </c>
      <c r="C170" t="s">
        <v>758</v>
      </c>
      <c r="D170" t="str">
        <f t="shared" si="3"/>
        <v>Amortización acumulada de mobiliario</v>
      </c>
    </row>
    <row r="171" spans="2:4" x14ac:dyDescent="0.25">
      <c r="B171" t="s">
        <v>134</v>
      </c>
      <c r="C171" t="s">
        <v>759</v>
      </c>
      <c r="D171" t="str">
        <f t="shared" si="3"/>
        <v>Amortización acumulada de equipos para procesos de información</v>
      </c>
    </row>
    <row r="172" spans="2:4" x14ac:dyDescent="0.25">
      <c r="B172" t="s">
        <v>135</v>
      </c>
      <c r="C172" t="s">
        <v>760</v>
      </c>
      <c r="D172" t="str">
        <f t="shared" si="3"/>
        <v>Amortización acumulada de elementos de transporte</v>
      </c>
    </row>
    <row r="173" spans="2:4" x14ac:dyDescent="0.25">
      <c r="B173" t="s">
        <v>136</v>
      </c>
      <c r="C173" t="s">
        <v>761</v>
      </c>
      <c r="D173" t="str">
        <f t="shared" si="3"/>
        <v>Amortización acumulada de otro inmovilizado material</v>
      </c>
    </row>
    <row r="174" spans="2:4" x14ac:dyDescent="0.25">
      <c r="B174" t="s">
        <v>137</v>
      </c>
      <c r="C174" t="s">
        <v>762</v>
      </c>
      <c r="D174" t="str">
        <f t="shared" si="3"/>
        <v>Amortización acumulada de las inversiones inmobiliarias</v>
      </c>
    </row>
    <row r="175" spans="2:4" x14ac:dyDescent="0.25">
      <c r="B175" t="s">
        <v>138</v>
      </c>
      <c r="C175" t="s">
        <v>763</v>
      </c>
      <c r="D175" t="str">
        <f t="shared" si="3"/>
        <v>DETERIORO DE VALOR DE ACTIVOS NO CORRIENTES</v>
      </c>
    </row>
    <row r="176" spans="2:4" x14ac:dyDescent="0.25">
      <c r="B176" t="s">
        <v>139</v>
      </c>
      <c r="C176" t="s">
        <v>764</v>
      </c>
      <c r="D176" t="str">
        <f t="shared" si="3"/>
        <v>Deterioro de valor del inmovilizado intangible</v>
      </c>
    </row>
    <row r="177" spans="2:4" x14ac:dyDescent="0.25">
      <c r="B177" t="s">
        <v>140</v>
      </c>
      <c r="C177" t="s">
        <v>765</v>
      </c>
      <c r="D177" t="str">
        <f t="shared" si="3"/>
        <v>Deterioro de valor de investigación</v>
      </c>
    </row>
    <row r="178" spans="2:4" x14ac:dyDescent="0.25">
      <c r="B178" t="s">
        <v>141</v>
      </c>
      <c r="C178" t="s">
        <v>766</v>
      </c>
      <c r="D178" t="str">
        <f t="shared" si="3"/>
        <v>Deterioro de valor de desarrollo</v>
      </c>
    </row>
    <row r="179" spans="2:4" x14ac:dyDescent="0.25">
      <c r="B179" t="s">
        <v>142</v>
      </c>
      <c r="C179" t="s">
        <v>767</v>
      </c>
      <c r="D179" t="str">
        <f t="shared" si="3"/>
        <v>Deterioro de valor de concesiones administrativas</v>
      </c>
    </row>
    <row r="180" spans="2:4" x14ac:dyDescent="0.25">
      <c r="B180" t="s">
        <v>143</v>
      </c>
      <c r="C180" t="s">
        <v>768</v>
      </c>
      <c r="D180" t="str">
        <f t="shared" si="3"/>
        <v>Deterioro de valor de propiedad industrial</v>
      </c>
    </row>
    <row r="181" spans="2:4" x14ac:dyDescent="0.25">
      <c r="B181" t="s">
        <v>144</v>
      </c>
      <c r="C181" t="s">
        <v>769</v>
      </c>
      <c r="D181" t="str">
        <f t="shared" si="3"/>
        <v>Deterioro de valor de derechos de traspaso</v>
      </c>
    </row>
    <row r="182" spans="2:4" x14ac:dyDescent="0.25">
      <c r="B182" t="s">
        <v>145</v>
      </c>
      <c r="C182" t="s">
        <v>770</v>
      </c>
      <c r="D182" t="str">
        <f t="shared" si="3"/>
        <v>Deterioro de valor de aplicaciones informáticas</v>
      </c>
    </row>
    <row r="183" spans="2:4" x14ac:dyDescent="0.25">
      <c r="B183" t="s">
        <v>146</v>
      </c>
      <c r="C183" t="s">
        <v>771</v>
      </c>
      <c r="D183" t="str">
        <f t="shared" si="3"/>
        <v>Deterioro de valor del inmovilizado material</v>
      </c>
    </row>
    <row r="184" spans="2:4" x14ac:dyDescent="0.25">
      <c r="B184" t="s">
        <v>147</v>
      </c>
      <c r="C184" t="s">
        <v>772</v>
      </c>
      <c r="D184" t="str">
        <f t="shared" si="3"/>
        <v>Deterioro de valor de terrenos y bienes naturales</v>
      </c>
    </row>
    <row r="185" spans="2:4" x14ac:dyDescent="0.25">
      <c r="B185" t="s">
        <v>148</v>
      </c>
      <c r="C185" t="s">
        <v>773</v>
      </c>
      <c r="D185" t="str">
        <f t="shared" si="3"/>
        <v>Deterioro de valor de construcciones</v>
      </c>
    </row>
    <row r="186" spans="2:4" x14ac:dyDescent="0.25">
      <c r="B186" t="s">
        <v>149</v>
      </c>
      <c r="C186" t="s">
        <v>774</v>
      </c>
      <c r="D186" t="str">
        <f t="shared" si="3"/>
        <v>Deterioro de valor de instalaciones técnicas</v>
      </c>
    </row>
    <row r="187" spans="2:4" x14ac:dyDescent="0.25">
      <c r="B187" t="s">
        <v>150</v>
      </c>
      <c r="C187" t="s">
        <v>775</v>
      </c>
      <c r="D187" t="str">
        <f t="shared" si="3"/>
        <v>Deterioro de valor de maquinaria</v>
      </c>
    </row>
    <row r="188" spans="2:4" x14ac:dyDescent="0.25">
      <c r="B188" t="s">
        <v>151</v>
      </c>
      <c r="C188" t="s">
        <v>776</v>
      </c>
      <c r="D188" t="str">
        <f t="shared" si="3"/>
        <v>Deterioro de valor de utillaje</v>
      </c>
    </row>
    <row r="189" spans="2:4" x14ac:dyDescent="0.25">
      <c r="B189" t="s">
        <v>152</v>
      </c>
      <c r="C189" t="s">
        <v>777</v>
      </c>
      <c r="D189" t="str">
        <f t="shared" si="3"/>
        <v>Deterioro de valor de otras instalaciones</v>
      </c>
    </row>
    <row r="190" spans="2:4" x14ac:dyDescent="0.25">
      <c r="B190" t="s">
        <v>153</v>
      </c>
      <c r="C190" t="s">
        <v>778</v>
      </c>
      <c r="D190" t="str">
        <f t="shared" si="3"/>
        <v>Deterioro de valor de mobiliario</v>
      </c>
    </row>
    <row r="191" spans="2:4" x14ac:dyDescent="0.25">
      <c r="B191" t="s">
        <v>154</v>
      </c>
      <c r="C191" t="s">
        <v>779</v>
      </c>
      <c r="D191" t="str">
        <f t="shared" si="3"/>
        <v>Deterioro de valor de equipos para procesos de información</v>
      </c>
    </row>
    <row r="192" spans="2:4" x14ac:dyDescent="0.25">
      <c r="B192" t="s">
        <v>155</v>
      </c>
      <c r="C192" t="s">
        <v>780</v>
      </c>
      <c r="D192" t="str">
        <f t="shared" si="3"/>
        <v>Deterioro de valor de elementos de transporte</v>
      </c>
    </row>
    <row r="193" spans="2:4" x14ac:dyDescent="0.25">
      <c r="B193" t="s">
        <v>156</v>
      </c>
      <c r="C193" t="s">
        <v>781</v>
      </c>
      <c r="D193" t="str">
        <f t="shared" si="3"/>
        <v>Deterioro de valor de otro inmovilizado material</v>
      </c>
    </row>
    <row r="194" spans="2:4" x14ac:dyDescent="0.25">
      <c r="B194" t="s">
        <v>157</v>
      </c>
      <c r="C194" t="s">
        <v>782</v>
      </c>
      <c r="D194" t="str">
        <f t="shared" si="3"/>
        <v>Deterioro de valor de las inversiones inmobiliarias</v>
      </c>
    </row>
    <row r="195" spans="2:4" x14ac:dyDescent="0.25">
      <c r="B195" t="s">
        <v>158</v>
      </c>
      <c r="C195" t="s">
        <v>783</v>
      </c>
      <c r="D195" t="str">
        <f t="shared" si="3"/>
        <v>Deterioro de valor de los terrenos y bienes naturales</v>
      </c>
    </row>
    <row r="196" spans="2:4" x14ac:dyDescent="0.25">
      <c r="B196" t="s">
        <v>159</v>
      </c>
      <c r="C196" t="s">
        <v>784</v>
      </c>
      <c r="D196" t="str">
        <f t="shared" si="3"/>
        <v>Deterioro de valor de construcciones</v>
      </c>
    </row>
    <row r="197" spans="2:4" x14ac:dyDescent="0.25">
      <c r="B197" t="s">
        <v>785</v>
      </c>
      <c r="C197" t="s">
        <v>786</v>
      </c>
      <c r="D197" t="str">
        <f t="shared" si="3"/>
        <v>D eterioro de valor de participaciones a largo plazo en partes vinculadas</v>
      </c>
    </row>
    <row r="198" spans="2:4" x14ac:dyDescent="0.25">
      <c r="B198" t="s">
        <v>787</v>
      </c>
      <c r="C198" t="s">
        <v>788</v>
      </c>
      <c r="D198" t="str">
        <f t="shared" si="3"/>
        <v>Deterioro de valor de participaciones a largo plazo en empresas del grupo</v>
      </c>
    </row>
    <row r="199" spans="2:4" x14ac:dyDescent="0.25">
      <c r="B199" t="s">
        <v>789</v>
      </c>
      <c r="C199" t="s">
        <v>790</v>
      </c>
      <c r="D199" t="str">
        <f t="shared" si="3"/>
        <v>Deterioro de valor de participaciones a largo plazo en empresas asociadas</v>
      </c>
    </row>
    <row r="200" spans="2:4" x14ac:dyDescent="0.25">
      <c r="B200" t="s">
        <v>791</v>
      </c>
      <c r="C200" t="s">
        <v>792</v>
      </c>
      <c r="D200" t="str">
        <f t="shared" si="3"/>
        <v>Deterioro de valor de participaciones a largo plazo en otras partes vinculadas</v>
      </c>
    </row>
    <row r="201" spans="2:4" x14ac:dyDescent="0.25">
      <c r="B201" t="s">
        <v>793</v>
      </c>
      <c r="C201" t="s">
        <v>794</v>
      </c>
      <c r="D201" t="str">
        <f t="shared" si="3"/>
        <v>Deterioro de valor de valores representativos de deuda a largo plazo de partes vinculadas</v>
      </c>
    </row>
    <row r="202" spans="2:4" x14ac:dyDescent="0.25">
      <c r="B202" t="s">
        <v>795</v>
      </c>
      <c r="C202" t="s">
        <v>796</v>
      </c>
      <c r="D202" t="str">
        <f t="shared" ref="D202:D265" si="4">MID(B202,FIND(".",B202)+2,LEN(B202))</f>
        <v>Deterioro de valor de valores representativos de deuda a largo plazo de empresas del grupo</v>
      </c>
    </row>
    <row r="203" spans="2:4" x14ac:dyDescent="0.25">
      <c r="B203" t="s">
        <v>797</v>
      </c>
      <c r="C203" t="s">
        <v>798</v>
      </c>
      <c r="D203" t="str">
        <f t="shared" si="4"/>
        <v>Deterioro de valor de valores representativos de deuda a largo plazo de empresas asociadas</v>
      </c>
    </row>
    <row r="204" spans="2:4" x14ac:dyDescent="0.25">
      <c r="B204" t="s">
        <v>799</v>
      </c>
      <c r="C204" t="s">
        <v>800</v>
      </c>
      <c r="D204" t="str">
        <f t="shared" si="4"/>
        <v>Deterioro de valor de valores representativos de deuda a largo plazo de otras partes vinculadas</v>
      </c>
    </row>
    <row r="205" spans="2:4" x14ac:dyDescent="0.25">
      <c r="B205" t="s">
        <v>801</v>
      </c>
      <c r="C205" t="s">
        <v>802</v>
      </c>
      <c r="D205" t="str">
        <f t="shared" si="4"/>
        <v>Deterioro de valor de créditos a largo plazo a partes vinculadas</v>
      </c>
    </row>
    <row r="206" spans="2:4" x14ac:dyDescent="0.25">
      <c r="B206" t="s">
        <v>803</v>
      </c>
      <c r="C206" t="s">
        <v>804</v>
      </c>
      <c r="D206" t="str">
        <f t="shared" si="4"/>
        <v>Deterioro de valor de créditos a largo plazo a empresas del</v>
      </c>
    </row>
    <row r="207" spans="2:4" x14ac:dyDescent="0.25">
      <c r="B207" t="s">
        <v>805</v>
      </c>
      <c r="C207" t="s">
        <v>806</v>
      </c>
      <c r="D207" t="str">
        <f t="shared" si="4"/>
        <v>Deterioro de valor de créditos a largo plazo a empresas</v>
      </c>
    </row>
    <row r="208" spans="2:4" x14ac:dyDescent="0.25">
      <c r="B208" t="s">
        <v>807</v>
      </c>
      <c r="C208" t="s">
        <v>808</v>
      </c>
      <c r="D208" t="str">
        <f t="shared" si="4"/>
        <v>Deterioro de valor de créditos a largo plazo a otras partes</v>
      </c>
    </row>
    <row r="209" spans="2:4" x14ac:dyDescent="0.25">
      <c r="B209" t="s">
        <v>809</v>
      </c>
      <c r="C209" t="s">
        <v>810</v>
      </c>
      <c r="D209" t="str">
        <f t="shared" si="4"/>
        <v>Deterioro de valor de participaciones en el patrimonio neto a largo plazo</v>
      </c>
    </row>
    <row r="210" spans="2:4" x14ac:dyDescent="0.25">
      <c r="B210" t="s">
        <v>811</v>
      </c>
      <c r="C210" t="s">
        <v>812</v>
      </c>
      <c r="D210" t="str">
        <f t="shared" si="4"/>
        <v>Deterioro de valor de valores representativos de deuda a largo plazo</v>
      </c>
    </row>
    <row r="211" spans="2:4" x14ac:dyDescent="0.25">
      <c r="B211" t="s">
        <v>813</v>
      </c>
      <c r="C211" t="s">
        <v>814</v>
      </c>
      <c r="D211" t="str">
        <f t="shared" si="4"/>
        <v>Deterioro de valor de créditos a largo plazo</v>
      </c>
    </row>
    <row r="212" spans="2:4" x14ac:dyDescent="0.25">
      <c r="B212" t="s">
        <v>160</v>
      </c>
      <c r="C212" t="s">
        <v>815</v>
      </c>
      <c r="D212" t="str">
        <f t="shared" si="4"/>
        <v>COMERCIALES</v>
      </c>
    </row>
    <row r="213" spans="2:4" x14ac:dyDescent="0.25">
      <c r="B213" t="s">
        <v>161</v>
      </c>
      <c r="C213" t="s">
        <v>816</v>
      </c>
      <c r="D213" t="str">
        <f t="shared" si="4"/>
        <v>Mercaderías A</v>
      </c>
    </row>
    <row r="214" spans="2:4" x14ac:dyDescent="0.25">
      <c r="B214" t="s">
        <v>162</v>
      </c>
      <c r="C214" t="s">
        <v>817</v>
      </c>
      <c r="D214" t="str">
        <f t="shared" si="4"/>
        <v>Mercaderías B</v>
      </c>
    </row>
    <row r="215" spans="2:4" x14ac:dyDescent="0.25">
      <c r="B215" t="s">
        <v>163</v>
      </c>
      <c r="C215" t="s">
        <v>818</v>
      </c>
      <c r="D215" t="str">
        <f t="shared" si="4"/>
        <v>MATERIAS PRIMAS</v>
      </c>
    </row>
    <row r="216" spans="2:4" x14ac:dyDescent="0.25">
      <c r="B216" t="s">
        <v>164</v>
      </c>
      <c r="C216" t="s">
        <v>819</v>
      </c>
      <c r="D216" t="str">
        <f t="shared" si="4"/>
        <v>Materias primas A</v>
      </c>
    </row>
    <row r="217" spans="2:4" x14ac:dyDescent="0.25">
      <c r="B217" t="s">
        <v>165</v>
      </c>
      <c r="C217" t="s">
        <v>820</v>
      </c>
      <c r="D217" t="str">
        <f t="shared" si="4"/>
        <v>Materias primas B</v>
      </c>
    </row>
    <row r="218" spans="2:4" x14ac:dyDescent="0.25">
      <c r="B218" t="s">
        <v>166</v>
      </c>
      <c r="C218" t="s">
        <v>821</v>
      </c>
      <c r="D218" t="str">
        <f t="shared" si="4"/>
        <v>OTROS APROVISIONAMIENTOS</v>
      </c>
    </row>
    <row r="219" spans="2:4" x14ac:dyDescent="0.25">
      <c r="B219" t="s">
        <v>167</v>
      </c>
      <c r="C219" t="s">
        <v>822</v>
      </c>
      <c r="D219" t="str">
        <f t="shared" si="4"/>
        <v>Elementos y conjuntos incorporables</v>
      </c>
    </row>
    <row r="220" spans="2:4" x14ac:dyDescent="0.25">
      <c r="B220" t="s">
        <v>168</v>
      </c>
      <c r="C220" t="s">
        <v>823</v>
      </c>
      <c r="D220" t="str">
        <f t="shared" si="4"/>
        <v>Combustibles</v>
      </c>
    </row>
    <row r="221" spans="2:4" x14ac:dyDescent="0.25">
      <c r="B221" t="s">
        <v>169</v>
      </c>
      <c r="C221" t="s">
        <v>824</v>
      </c>
      <c r="D221" t="str">
        <f t="shared" si="4"/>
        <v>Repuestos</v>
      </c>
    </row>
    <row r="222" spans="2:4" x14ac:dyDescent="0.25">
      <c r="B222" t="s">
        <v>170</v>
      </c>
      <c r="C222" t="s">
        <v>825</v>
      </c>
      <c r="D222" t="str">
        <f t="shared" si="4"/>
        <v>Materiales diversos</v>
      </c>
    </row>
    <row r="223" spans="2:4" x14ac:dyDescent="0.25">
      <c r="B223" t="s">
        <v>171</v>
      </c>
      <c r="C223" t="s">
        <v>826</v>
      </c>
      <c r="D223" t="str">
        <f t="shared" si="4"/>
        <v>Embalajes</v>
      </c>
    </row>
    <row r="224" spans="2:4" x14ac:dyDescent="0.25">
      <c r="B224" t="s">
        <v>172</v>
      </c>
      <c r="C224" t="s">
        <v>827</v>
      </c>
      <c r="D224" t="str">
        <f t="shared" si="4"/>
        <v>Envases</v>
      </c>
    </row>
    <row r="225" spans="2:4" x14ac:dyDescent="0.25">
      <c r="B225" t="s">
        <v>173</v>
      </c>
      <c r="C225" t="s">
        <v>828</v>
      </c>
      <c r="D225" t="str">
        <f t="shared" si="4"/>
        <v>Material de oficina</v>
      </c>
    </row>
    <row r="226" spans="2:4" x14ac:dyDescent="0.25">
      <c r="B226" t="s">
        <v>174</v>
      </c>
      <c r="C226" t="s">
        <v>829</v>
      </c>
      <c r="D226" t="str">
        <f t="shared" si="4"/>
        <v>PRODUCTOS EN CURSO</v>
      </c>
    </row>
    <row r="227" spans="2:4" x14ac:dyDescent="0.25">
      <c r="B227" t="s">
        <v>175</v>
      </c>
      <c r="C227" t="s">
        <v>830</v>
      </c>
      <c r="D227" t="str">
        <f t="shared" si="4"/>
        <v>Productos en curso A</v>
      </c>
    </row>
    <row r="228" spans="2:4" x14ac:dyDescent="0.25">
      <c r="B228" t="s">
        <v>176</v>
      </c>
      <c r="C228" t="s">
        <v>831</v>
      </c>
      <c r="D228" t="str">
        <f t="shared" si="4"/>
        <v>Productos en curso B</v>
      </c>
    </row>
    <row r="229" spans="2:4" x14ac:dyDescent="0.25">
      <c r="B229" t="s">
        <v>177</v>
      </c>
      <c r="C229" t="s">
        <v>832</v>
      </c>
      <c r="D229" t="str">
        <f t="shared" si="4"/>
        <v>PRODUCTOS SEMITERMINADOS</v>
      </c>
    </row>
    <row r="230" spans="2:4" x14ac:dyDescent="0.25">
      <c r="B230" t="s">
        <v>178</v>
      </c>
      <c r="C230" t="s">
        <v>833</v>
      </c>
      <c r="D230" t="str">
        <f t="shared" si="4"/>
        <v>Productos semiterminados A</v>
      </c>
    </row>
    <row r="231" spans="2:4" x14ac:dyDescent="0.25">
      <c r="B231" t="s">
        <v>179</v>
      </c>
      <c r="C231" t="s">
        <v>834</v>
      </c>
      <c r="D231" t="str">
        <f t="shared" si="4"/>
        <v>Productos semiterminados B</v>
      </c>
    </row>
    <row r="232" spans="2:4" x14ac:dyDescent="0.25">
      <c r="B232" t="s">
        <v>180</v>
      </c>
      <c r="C232" t="s">
        <v>835</v>
      </c>
      <c r="D232" t="str">
        <f t="shared" si="4"/>
        <v>PRODUCTOS TERMINADOS</v>
      </c>
    </row>
    <row r="233" spans="2:4" x14ac:dyDescent="0.25">
      <c r="B233" t="s">
        <v>181</v>
      </c>
      <c r="C233" t="s">
        <v>836</v>
      </c>
      <c r="D233" t="str">
        <f t="shared" si="4"/>
        <v>Productos terminados A</v>
      </c>
    </row>
    <row r="234" spans="2:4" x14ac:dyDescent="0.25">
      <c r="B234" t="s">
        <v>182</v>
      </c>
      <c r="C234" t="s">
        <v>837</v>
      </c>
      <c r="D234" t="str">
        <f t="shared" si="4"/>
        <v>Productos terminados B</v>
      </c>
    </row>
    <row r="235" spans="2:4" x14ac:dyDescent="0.25">
      <c r="B235" t="s">
        <v>183</v>
      </c>
      <c r="C235" t="s">
        <v>838</v>
      </c>
      <c r="D235" t="str">
        <f t="shared" si="4"/>
        <v>SUBPRODUCTOS, RESIDUOS Y MATERIALES RECUPERADOS</v>
      </c>
    </row>
    <row r="236" spans="2:4" x14ac:dyDescent="0.25">
      <c r="B236" t="s">
        <v>184</v>
      </c>
      <c r="C236" t="s">
        <v>839</v>
      </c>
      <c r="D236" t="str">
        <f t="shared" si="4"/>
        <v>Subproductos A</v>
      </c>
    </row>
    <row r="237" spans="2:4" x14ac:dyDescent="0.25">
      <c r="B237" t="s">
        <v>185</v>
      </c>
      <c r="C237" t="s">
        <v>840</v>
      </c>
      <c r="D237" t="str">
        <f t="shared" si="4"/>
        <v>Subproductos B</v>
      </c>
    </row>
    <row r="238" spans="2:4" x14ac:dyDescent="0.25">
      <c r="B238" t="s">
        <v>186</v>
      </c>
      <c r="C238" t="s">
        <v>841</v>
      </c>
      <c r="D238" t="str">
        <f t="shared" si="4"/>
        <v>Residuos A</v>
      </c>
    </row>
    <row r="239" spans="2:4" x14ac:dyDescent="0.25">
      <c r="B239" t="s">
        <v>187</v>
      </c>
      <c r="C239" t="s">
        <v>842</v>
      </c>
      <c r="D239" t="str">
        <f t="shared" si="4"/>
        <v>Residuos B</v>
      </c>
    </row>
    <row r="240" spans="2:4" x14ac:dyDescent="0.25">
      <c r="B240" t="s">
        <v>188</v>
      </c>
      <c r="C240" t="s">
        <v>843</v>
      </c>
      <c r="D240" t="str">
        <f t="shared" si="4"/>
        <v>Materiales recuperados A</v>
      </c>
    </row>
    <row r="241" spans="2:4" x14ac:dyDescent="0.25">
      <c r="B241" t="s">
        <v>189</v>
      </c>
      <c r="C241" t="s">
        <v>844</v>
      </c>
      <c r="D241" t="str">
        <f t="shared" si="4"/>
        <v>Materiales recuperados B</v>
      </c>
    </row>
    <row r="242" spans="2:4" x14ac:dyDescent="0.25">
      <c r="B242" t="s">
        <v>190</v>
      </c>
      <c r="C242" t="s">
        <v>845</v>
      </c>
      <c r="D242" t="str">
        <f t="shared" si="4"/>
        <v>DETERIORO DE VALOR DE LAS EXISTENCIAS</v>
      </c>
    </row>
    <row r="243" spans="2:4" x14ac:dyDescent="0.25">
      <c r="B243" t="s">
        <v>191</v>
      </c>
      <c r="C243" t="s">
        <v>846</v>
      </c>
      <c r="D243" t="str">
        <f t="shared" si="4"/>
        <v>Deterioro de valor de las mercaderías</v>
      </c>
    </row>
    <row r="244" spans="2:4" x14ac:dyDescent="0.25">
      <c r="B244" t="s">
        <v>192</v>
      </c>
      <c r="C244" t="s">
        <v>847</v>
      </c>
      <c r="D244" t="str">
        <f t="shared" si="4"/>
        <v>Deterioro de valor de las materias primas</v>
      </c>
    </row>
    <row r="245" spans="2:4" x14ac:dyDescent="0.25">
      <c r="B245" t="s">
        <v>193</v>
      </c>
      <c r="C245" t="s">
        <v>848</v>
      </c>
      <c r="D245" t="str">
        <f t="shared" si="4"/>
        <v>Deterioro de valor de otros aprovisionamientos</v>
      </c>
    </row>
    <row r="246" spans="2:4" x14ac:dyDescent="0.25">
      <c r="B246" t="s">
        <v>194</v>
      </c>
      <c r="C246" t="s">
        <v>849</v>
      </c>
      <c r="D246" t="str">
        <f t="shared" si="4"/>
        <v>Deterioro de valor de los productos en curso</v>
      </c>
    </row>
    <row r="247" spans="2:4" x14ac:dyDescent="0.25">
      <c r="B247" t="s">
        <v>195</v>
      </c>
      <c r="C247" t="s">
        <v>850</v>
      </c>
      <c r="D247" t="str">
        <f t="shared" si="4"/>
        <v>Deterioro de valor de los productos semiterminados</v>
      </c>
    </row>
    <row r="248" spans="2:4" x14ac:dyDescent="0.25">
      <c r="B248" t="s">
        <v>196</v>
      </c>
      <c r="C248" t="s">
        <v>851</v>
      </c>
      <c r="D248" t="str">
        <f t="shared" si="4"/>
        <v>Deterioro de valor de los productos terminados</v>
      </c>
    </row>
    <row r="249" spans="2:4" x14ac:dyDescent="0.25">
      <c r="B249" t="s">
        <v>852</v>
      </c>
      <c r="C249" t="s">
        <v>853</v>
      </c>
      <c r="D249" t="str">
        <f t="shared" si="4"/>
        <v>Deterioro de valor de los subproductos, residuos y materiales recuperados</v>
      </c>
    </row>
    <row r="250" spans="2:4" x14ac:dyDescent="0.25">
      <c r="B250" t="s">
        <v>197</v>
      </c>
      <c r="C250" t="s">
        <v>854</v>
      </c>
      <c r="D250" t="str">
        <f t="shared" si="4"/>
        <v>PROVEEDORES</v>
      </c>
    </row>
    <row r="251" spans="2:4" x14ac:dyDescent="0.25">
      <c r="B251" t="s">
        <v>198</v>
      </c>
      <c r="C251" t="s">
        <v>855</v>
      </c>
      <c r="D251" t="str">
        <f t="shared" si="4"/>
        <v>Proveedores</v>
      </c>
    </row>
    <row r="252" spans="2:4" x14ac:dyDescent="0.25">
      <c r="B252" t="s">
        <v>199</v>
      </c>
      <c r="C252" t="s">
        <v>856</v>
      </c>
      <c r="D252" t="str">
        <f t="shared" si="4"/>
        <v>Proveedores (euros)</v>
      </c>
    </row>
    <row r="253" spans="2:4" x14ac:dyDescent="0.25">
      <c r="B253" t="s">
        <v>200</v>
      </c>
      <c r="C253" t="s">
        <v>857</v>
      </c>
      <c r="D253" t="str">
        <f t="shared" si="4"/>
        <v>Proveedores (moneda extranjera)</v>
      </c>
    </row>
    <row r="254" spans="2:4" x14ac:dyDescent="0.25">
      <c r="B254" t="s">
        <v>201</v>
      </c>
      <c r="C254" t="s">
        <v>858</v>
      </c>
      <c r="D254" t="str">
        <f t="shared" si="4"/>
        <v>Proveedores, facturas pendientes de recibir o de formalizar</v>
      </c>
    </row>
    <row r="255" spans="2:4" x14ac:dyDescent="0.25">
      <c r="B255" t="s">
        <v>202</v>
      </c>
      <c r="C255" t="s">
        <v>859</v>
      </c>
      <c r="D255" t="str">
        <f t="shared" si="4"/>
        <v>Proveedores, efectos comerciales a pagar</v>
      </c>
    </row>
    <row r="256" spans="2:4" x14ac:dyDescent="0.25">
      <c r="B256" t="s">
        <v>203</v>
      </c>
      <c r="C256" t="s">
        <v>860</v>
      </c>
      <c r="D256" t="str">
        <f t="shared" si="4"/>
        <v>Proveedores, empresas del grupo</v>
      </c>
    </row>
    <row r="257" spans="2:4" x14ac:dyDescent="0.25">
      <c r="B257" t="s">
        <v>204</v>
      </c>
      <c r="C257" t="s">
        <v>861</v>
      </c>
      <c r="D257" t="str">
        <f t="shared" si="4"/>
        <v>Proveedores, empresas del grupo (euros)</v>
      </c>
    </row>
    <row r="258" spans="2:4" x14ac:dyDescent="0.25">
      <c r="B258" t="s">
        <v>205</v>
      </c>
      <c r="C258" t="s">
        <v>862</v>
      </c>
      <c r="D258" t="str">
        <f t="shared" si="4"/>
        <v>Efectos comerciales a pagar, empresas del grupo</v>
      </c>
    </row>
    <row r="259" spans="2:4" x14ac:dyDescent="0.25">
      <c r="B259" t="s">
        <v>206</v>
      </c>
      <c r="C259" t="s">
        <v>863</v>
      </c>
      <c r="D259" t="str">
        <f t="shared" si="4"/>
        <v>Proveedores, empresas del grupo (moneda extranjera)</v>
      </c>
    </row>
    <row r="260" spans="2:4" x14ac:dyDescent="0.25">
      <c r="B260" t="s">
        <v>864</v>
      </c>
      <c r="C260" t="s">
        <v>865</v>
      </c>
      <c r="D260" t="str">
        <f t="shared" si="4"/>
        <v>Envases y embalajes a devolver a proveedores, empresas del grupo</v>
      </c>
    </row>
    <row r="261" spans="2:4" x14ac:dyDescent="0.25">
      <c r="B261" t="s">
        <v>866</v>
      </c>
      <c r="C261" t="s">
        <v>867</v>
      </c>
      <c r="D261" t="str">
        <f t="shared" si="4"/>
        <v>Proveedores, empresas del grupo, facturas pendientes de recibir o de formalizar</v>
      </c>
    </row>
    <row r="262" spans="2:4" x14ac:dyDescent="0.25">
      <c r="B262" t="s">
        <v>207</v>
      </c>
      <c r="C262" t="s">
        <v>868</v>
      </c>
      <c r="D262" t="str">
        <f t="shared" si="4"/>
        <v>Proveedores, empresas asociadas</v>
      </c>
    </row>
    <row r="263" spans="2:4" x14ac:dyDescent="0.25">
      <c r="B263" t="s">
        <v>208</v>
      </c>
      <c r="C263" t="s">
        <v>869</v>
      </c>
      <c r="D263" t="str">
        <f t="shared" si="4"/>
        <v>Proveedores, otras partes vinculadas</v>
      </c>
    </row>
    <row r="264" spans="2:4" x14ac:dyDescent="0.25">
      <c r="B264" t="s">
        <v>209</v>
      </c>
      <c r="C264" t="s">
        <v>870</v>
      </c>
      <c r="D264" t="str">
        <f t="shared" si="4"/>
        <v>Envases y embalajes a devolver a proveedores</v>
      </c>
    </row>
    <row r="265" spans="2:4" x14ac:dyDescent="0.25">
      <c r="B265" t="s">
        <v>210</v>
      </c>
      <c r="C265" t="s">
        <v>871</v>
      </c>
      <c r="D265" t="str">
        <f t="shared" si="4"/>
        <v>Anticipos a proveedores</v>
      </c>
    </row>
    <row r="266" spans="2:4" x14ac:dyDescent="0.25">
      <c r="B266" t="s">
        <v>211</v>
      </c>
      <c r="C266" t="s">
        <v>872</v>
      </c>
      <c r="D266" t="str">
        <f t="shared" ref="D266:D329" si="5">MID(B266,FIND(".",B266)+2,LEN(B266))</f>
        <v>ACREEDORES VARIOS</v>
      </c>
    </row>
    <row r="267" spans="2:4" x14ac:dyDescent="0.25">
      <c r="B267" t="s">
        <v>212</v>
      </c>
      <c r="C267" t="s">
        <v>873</v>
      </c>
      <c r="D267" t="str">
        <f t="shared" si="5"/>
        <v>Acreedores por prestaciones de servicios</v>
      </c>
    </row>
    <row r="268" spans="2:4" x14ac:dyDescent="0.25">
      <c r="B268" t="s">
        <v>213</v>
      </c>
      <c r="C268" t="s">
        <v>874</v>
      </c>
      <c r="D268" t="str">
        <f t="shared" si="5"/>
        <v>Acreedores por prestaciones de servicios (euros)</v>
      </c>
    </row>
    <row r="269" spans="2:4" x14ac:dyDescent="0.25">
      <c r="B269" t="s">
        <v>214</v>
      </c>
      <c r="C269" t="s">
        <v>875</v>
      </c>
      <c r="D269" t="str">
        <f t="shared" si="5"/>
        <v>Acreedores por prestaciones de servicios, (moneda extranjera)</v>
      </c>
    </row>
    <row r="270" spans="2:4" x14ac:dyDescent="0.25">
      <c r="B270" t="s">
        <v>876</v>
      </c>
      <c r="C270" t="s">
        <v>877</v>
      </c>
      <c r="D270" t="str">
        <f t="shared" si="5"/>
        <v>Acreedores por prestaciones de servicios, facturas pendientes de recibir o de formalizar</v>
      </c>
    </row>
    <row r="271" spans="2:4" x14ac:dyDescent="0.25">
      <c r="B271" t="s">
        <v>215</v>
      </c>
      <c r="C271" t="s">
        <v>878</v>
      </c>
      <c r="D271" t="str">
        <f t="shared" si="5"/>
        <v>Acreedores, efectos comerciales a pagar</v>
      </c>
    </row>
    <row r="272" spans="2:4" x14ac:dyDescent="0.25">
      <c r="B272" t="s">
        <v>216</v>
      </c>
      <c r="C272" t="s">
        <v>879</v>
      </c>
      <c r="D272" t="str">
        <f t="shared" si="5"/>
        <v>Acreedores por operaciones en común</v>
      </c>
    </row>
    <row r="273" spans="2:4" x14ac:dyDescent="0.25">
      <c r="B273" t="s">
        <v>217</v>
      </c>
      <c r="C273" t="s">
        <v>880</v>
      </c>
      <c r="D273" t="str">
        <f t="shared" si="5"/>
        <v>CLIENTES</v>
      </c>
    </row>
    <row r="274" spans="2:4" x14ac:dyDescent="0.25">
      <c r="B274" t="s">
        <v>218</v>
      </c>
      <c r="C274" t="s">
        <v>881</v>
      </c>
      <c r="D274" t="str">
        <f t="shared" si="5"/>
        <v>Clientes</v>
      </c>
    </row>
    <row r="275" spans="2:4" x14ac:dyDescent="0.25">
      <c r="B275" t="s">
        <v>219</v>
      </c>
      <c r="C275" t="s">
        <v>882</v>
      </c>
      <c r="D275" t="str">
        <f t="shared" si="5"/>
        <v>Clientes (euros)</v>
      </c>
    </row>
    <row r="276" spans="2:4" x14ac:dyDescent="0.25">
      <c r="B276" t="s">
        <v>220</v>
      </c>
      <c r="C276" t="s">
        <v>883</v>
      </c>
      <c r="D276" t="str">
        <f t="shared" si="5"/>
        <v>Clientes (moneda extranjera)</v>
      </c>
    </row>
    <row r="277" spans="2:4" x14ac:dyDescent="0.25">
      <c r="B277" t="s">
        <v>221</v>
      </c>
      <c r="C277" t="s">
        <v>884</v>
      </c>
      <c r="D277" t="str">
        <f t="shared" si="5"/>
        <v>Clientes, facturas pendientes de formalizar</v>
      </c>
    </row>
    <row r="278" spans="2:4" x14ac:dyDescent="0.25">
      <c r="B278" t="s">
        <v>222</v>
      </c>
      <c r="C278" t="s">
        <v>885</v>
      </c>
      <c r="D278" t="str">
        <f t="shared" si="5"/>
        <v>Clientes, efectos comerciales a cobrar</v>
      </c>
    </row>
    <row r="279" spans="2:4" x14ac:dyDescent="0.25">
      <c r="B279" t="s">
        <v>223</v>
      </c>
      <c r="C279" t="s">
        <v>886</v>
      </c>
      <c r="D279" t="str">
        <f t="shared" si="5"/>
        <v>Efectos comerciales en cartera</v>
      </c>
    </row>
    <row r="280" spans="2:4" x14ac:dyDescent="0.25">
      <c r="B280" t="s">
        <v>224</v>
      </c>
      <c r="C280" t="s">
        <v>887</v>
      </c>
      <c r="D280" t="str">
        <f t="shared" si="5"/>
        <v>Efectos comerciales descontados</v>
      </c>
    </row>
    <row r="281" spans="2:4" x14ac:dyDescent="0.25">
      <c r="B281" t="s">
        <v>225</v>
      </c>
      <c r="C281" t="s">
        <v>888</v>
      </c>
      <c r="D281" t="str">
        <f t="shared" si="5"/>
        <v>Efectos comerciales en gestión de cobro</v>
      </c>
    </row>
    <row r="282" spans="2:4" x14ac:dyDescent="0.25">
      <c r="B282" t="s">
        <v>226</v>
      </c>
      <c r="C282" t="s">
        <v>889</v>
      </c>
      <c r="D282" t="str">
        <f t="shared" si="5"/>
        <v>Efectos comerciales impagados</v>
      </c>
    </row>
    <row r="283" spans="2:4" x14ac:dyDescent="0.25">
      <c r="B283" t="s">
        <v>227</v>
      </c>
      <c r="C283" t="s">
        <v>890</v>
      </c>
      <c r="D283" t="str">
        <f t="shared" si="5"/>
        <v>Clientes, operaciones de “factoring”</v>
      </c>
    </row>
    <row r="284" spans="2:4" x14ac:dyDescent="0.25">
      <c r="B284" t="s">
        <v>228</v>
      </c>
      <c r="C284" t="s">
        <v>891</v>
      </c>
      <c r="D284" t="str">
        <f t="shared" si="5"/>
        <v>Clientes, empresas del grupo</v>
      </c>
    </row>
    <row r="285" spans="2:4" x14ac:dyDescent="0.25">
      <c r="B285" t="s">
        <v>229</v>
      </c>
      <c r="C285" t="s">
        <v>892</v>
      </c>
      <c r="D285" t="str">
        <f t="shared" si="5"/>
        <v>Clientes empresas del grupo (euros)</v>
      </c>
    </row>
    <row r="286" spans="2:4" x14ac:dyDescent="0.25">
      <c r="B286" t="s">
        <v>230</v>
      </c>
      <c r="C286" t="s">
        <v>893</v>
      </c>
      <c r="D286" t="str">
        <f t="shared" si="5"/>
        <v>Efectos comerciales a cobrar, empresas del grupo</v>
      </c>
    </row>
    <row r="287" spans="2:4" x14ac:dyDescent="0.25">
      <c r="B287" t="s">
        <v>231</v>
      </c>
      <c r="C287" t="s">
        <v>894</v>
      </c>
      <c r="D287" t="str">
        <f t="shared" si="5"/>
        <v>Clientes empresas del grupo, operaciones de “factoring”</v>
      </c>
    </row>
    <row r="288" spans="2:4" x14ac:dyDescent="0.25">
      <c r="B288" t="s">
        <v>232</v>
      </c>
      <c r="C288" t="s">
        <v>895</v>
      </c>
      <c r="D288" t="str">
        <f t="shared" si="5"/>
        <v>Clientes empresas del grupo (moneda extranjera)</v>
      </c>
    </row>
    <row r="289" spans="2:4" x14ac:dyDescent="0.25">
      <c r="B289" t="s">
        <v>233</v>
      </c>
      <c r="C289" t="s">
        <v>896</v>
      </c>
      <c r="D289" t="str">
        <f t="shared" si="5"/>
        <v>Clientes empresas del grupo de dudoso cobro</v>
      </c>
    </row>
    <row r="290" spans="2:4" x14ac:dyDescent="0.25">
      <c r="B290" t="s">
        <v>234</v>
      </c>
      <c r="C290" t="s">
        <v>897</v>
      </c>
      <c r="D290" t="str">
        <f t="shared" si="5"/>
        <v>Envases y embalajes a devolver a clientes, empresas del grupo</v>
      </c>
    </row>
    <row r="291" spans="2:4" x14ac:dyDescent="0.25">
      <c r="B291" t="s">
        <v>235</v>
      </c>
      <c r="C291" t="s">
        <v>898</v>
      </c>
      <c r="D291" t="str">
        <f t="shared" si="5"/>
        <v>Clientes empresas del grupo, facturas pendientes de formalizar</v>
      </c>
    </row>
    <row r="292" spans="2:4" x14ac:dyDescent="0.25">
      <c r="B292" t="s">
        <v>236</v>
      </c>
      <c r="C292" t="s">
        <v>899</v>
      </c>
      <c r="D292" t="str">
        <f t="shared" si="5"/>
        <v>Clientes, empresas asociadas</v>
      </c>
    </row>
    <row r="293" spans="2:4" x14ac:dyDescent="0.25">
      <c r="B293" t="s">
        <v>237</v>
      </c>
      <c r="C293" t="s">
        <v>900</v>
      </c>
      <c r="D293" t="str">
        <f t="shared" si="5"/>
        <v>Clientes, otras partes vinculadas</v>
      </c>
    </row>
    <row r="294" spans="2:4" x14ac:dyDescent="0.25">
      <c r="B294" t="s">
        <v>238</v>
      </c>
      <c r="C294" t="s">
        <v>901</v>
      </c>
      <c r="D294" t="str">
        <f t="shared" si="5"/>
        <v>Clientes de dudoso cobro</v>
      </c>
    </row>
    <row r="295" spans="2:4" x14ac:dyDescent="0.25">
      <c r="B295" t="s">
        <v>239</v>
      </c>
      <c r="C295" t="s">
        <v>902</v>
      </c>
      <c r="D295" t="str">
        <f t="shared" si="5"/>
        <v>Envases y embalajes a devolver por clientes</v>
      </c>
    </row>
    <row r="296" spans="2:4" x14ac:dyDescent="0.25">
      <c r="B296" t="s">
        <v>240</v>
      </c>
      <c r="C296" t="s">
        <v>903</v>
      </c>
      <c r="D296" t="str">
        <f t="shared" si="5"/>
        <v>Anticipos de clientes</v>
      </c>
    </row>
    <row r="297" spans="2:4" x14ac:dyDescent="0.25">
      <c r="B297" t="s">
        <v>241</v>
      </c>
      <c r="C297" t="s">
        <v>904</v>
      </c>
      <c r="D297" t="str">
        <f t="shared" si="5"/>
        <v>DEUDORES VARIOS</v>
      </c>
    </row>
    <row r="298" spans="2:4" x14ac:dyDescent="0.25">
      <c r="B298" t="s">
        <v>242</v>
      </c>
      <c r="C298" t="s">
        <v>905</v>
      </c>
      <c r="D298" t="str">
        <f t="shared" si="5"/>
        <v>D eudores</v>
      </c>
    </row>
    <row r="299" spans="2:4" x14ac:dyDescent="0.25">
      <c r="B299" t="s">
        <v>243</v>
      </c>
      <c r="C299" t="s">
        <v>906</v>
      </c>
      <c r="D299" t="str">
        <f t="shared" si="5"/>
        <v>Deudores (euros)</v>
      </c>
    </row>
    <row r="300" spans="2:4" x14ac:dyDescent="0.25">
      <c r="B300" t="s">
        <v>244</v>
      </c>
      <c r="C300" t="s">
        <v>907</v>
      </c>
      <c r="D300" t="str">
        <f t="shared" si="5"/>
        <v>Deudores (moneda extranjera)</v>
      </c>
    </row>
    <row r="301" spans="2:4" x14ac:dyDescent="0.25">
      <c r="B301" t="s">
        <v>245</v>
      </c>
      <c r="C301" t="s">
        <v>908</v>
      </c>
      <c r="D301" t="str">
        <f t="shared" si="5"/>
        <v>Deudores, facturas pendientes de formalizar</v>
      </c>
    </row>
    <row r="302" spans="2:4" x14ac:dyDescent="0.25">
      <c r="B302" t="s">
        <v>246</v>
      </c>
      <c r="C302" t="s">
        <v>909</v>
      </c>
      <c r="D302" t="str">
        <f t="shared" si="5"/>
        <v>D eudores, efectos comerciales a cobrar</v>
      </c>
    </row>
    <row r="303" spans="2:4" x14ac:dyDescent="0.25">
      <c r="B303" t="s">
        <v>247</v>
      </c>
      <c r="C303" t="s">
        <v>910</v>
      </c>
      <c r="D303" t="str">
        <f t="shared" si="5"/>
        <v>Deudores, efectos comerciales en cartera</v>
      </c>
    </row>
    <row r="304" spans="2:4" x14ac:dyDescent="0.25">
      <c r="B304" t="s">
        <v>248</v>
      </c>
      <c r="C304" t="s">
        <v>911</v>
      </c>
      <c r="D304" t="str">
        <f t="shared" si="5"/>
        <v>Deudores, efectos comerciales descontados</v>
      </c>
    </row>
    <row r="305" spans="2:4" x14ac:dyDescent="0.25">
      <c r="B305" t="s">
        <v>249</v>
      </c>
      <c r="C305" t="s">
        <v>912</v>
      </c>
      <c r="D305" t="str">
        <f t="shared" si="5"/>
        <v>Deudores, efectos comerciales en gestión de cobro</v>
      </c>
    </row>
    <row r="306" spans="2:4" x14ac:dyDescent="0.25">
      <c r="B306" t="s">
        <v>250</v>
      </c>
      <c r="C306" t="s">
        <v>913</v>
      </c>
      <c r="D306" t="str">
        <f t="shared" si="5"/>
        <v>Deudores, efectos comerciales impagados</v>
      </c>
    </row>
    <row r="307" spans="2:4" x14ac:dyDescent="0.25">
      <c r="B307" t="s">
        <v>251</v>
      </c>
      <c r="C307" t="s">
        <v>914</v>
      </c>
      <c r="D307" t="str">
        <f t="shared" si="5"/>
        <v>Deudores de dudoso cobro</v>
      </c>
    </row>
    <row r="308" spans="2:4" x14ac:dyDescent="0.25">
      <c r="B308" t="s">
        <v>252</v>
      </c>
      <c r="C308" t="s">
        <v>915</v>
      </c>
      <c r="D308" t="str">
        <f t="shared" si="5"/>
        <v>Deudores por operaciones en común</v>
      </c>
    </row>
    <row r="309" spans="2:4" x14ac:dyDescent="0.25">
      <c r="B309" t="s">
        <v>253</v>
      </c>
      <c r="C309" t="s">
        <v>916</v>
      </c>
      <c r="D309" t="str">
        <f t="shared" si="5"/>
        <v>PERSONAL</v>
      </c>
    </row>
    <row r="310" spans="2:4" x14ac:dyDescent="0.25">
      <c r="B310" t="s">
        <v>254</v>
      </c>
      <c r="C310" t="s">
        <v>917</v>
      </c>
      <c r="D310" t="str">
        <f t="shared" si="5"/>
        <v>Anticipos de remuneraciones</v>
      </c>
    </row>
    <row r="311" spans="2:4" x14ac:dyDescent="0.25">
      <c r="B311" t="s">
        <v>255</v>
      </c>
      <c r="C311" t="s">
        <v>918</v>
      </c>
      <c r="D311" t="str">
        <f t="shared" si="5"/>
        <v>Remuneraciones pendientes de pago</v>
      </c>
    </row>
    <row r="312" spans="2:4" x14ac:dyDescent="0.25">
      <c r="B312" t="s">
        <v>256</v>
      </c>
      <c r="C312" t="s">
        <v>919</v>
      </c>
      <c r="D312" t="str">
        <f t="shared" si="5"/>
        <v>ADMINISTRACIONES PÚBLICAS</v>
      </c>
    </row>
    <row r="313" spans="2:4" x14ac:dyDescent="0.25">
      <c r="B313" t="s">
        <v>257</v>
      </c>
      <c r="C313" t="s">
        <v>920</v>
      </c>
      <c r="D313" t="str">
        <f t="shared" si="5"/>
        <v>Hacienda Pública, deudora por diversos conceptos</v>
      </c>
    </row>
    <row r="314" spans="2:4" x14ac:dyDescent="0.25">
      <c r="B314" t="s">
        <v>258</v>
      </c>
      <c r="C314" t="s">
        <v>921</v>
      </c>
      <c r="D314" t="str">
        <f t="shared" si="5"/>
        <v>Hacienda Pública, deudora por IVA</v>
      </c>
    </row>
    <row r="315" spans="2:4" x14ac:dyDescent="0.25">
      <c r="B315" t="s">
        <v>922</v>
      </c>
      <c r="C315" t="s">
        <v>923</v>
      </c>
      <c r="D315" t="str">
        <f t="shared" si="5"/>
        <v>Hacienda Pública, deudora por subvenciones concedidas</v>
      </c>
    </row>
    <row r="316" spans="2:4" x14ac:dyDescent="0.25">
      <c r="B316" t="s">
        <v>259</v>
      </c>
      <c r="C316" t="s">
        <v>924</v>
      </c>
      <c r="D316" t="str">
        <f t="shared" si="5"/>
        <v>Hacienda Pública, deudora por devolución de impuestos</v>
      </c>
    </row>
    <row r="317" spans="2:4" x14ac:dyDescent="0.25">
      <c r="B317" t="s">
        <v>260</v>
      </c>
      <c r="C317" t="s">
        <v>925</v>
      </c>
      <c r="D317" t="str">
        <f t="shared" si="5"/>
        <v>Organismos de la Seguridad Social, deudores</v>
      </c>
    </row>
    <row r="318" spans="2:4" x14ac:dyDescent="0.25">
      <c r="B318" t="s">
        <v>261</v>
      </c>
      <c r="C318" t="s">
        <v>926</v>
      </c>
      <c r="D318" t="str">
        <f t="shared" si="5"/>
        <v>Hacienda Pública, IVA soportado</v>
      </c>
    </row>
    <row r="319" spans="2:4" x14ac:dyDescent="0.25">
      <c r="B319" t="s">
        <v>262</v>
      </c>
      <c r="C319" t="s">
        <v>927</v>
      </c>
      <c r="D319" t="str">
        <f t="shared" si="5"/>
        <v>Hacienda Pública, retenciones y pagos a cuenta</v>
      </c>
    </row>
    <row r="320" spans="2:4" x14ac:dyDescent="0.25">
      <c r="B320" t="s">
        <v>263</v>
      </c>
      <c r="C320" t="s">
        <v>928</v>
      </c>
      <c r="D320" t="str">
        <f t="shared" si="5"/>
        <v>Activos por impuesto diferido</v>
      </c>
    </row>
    <row r="321" spans="2:4" x14ac:dyDescent="0.25">
      <c r="B321" t="s">
        <v>264</v>
      </c>
      <c r="C321" t="s">
        <v>929</v>
      </c>
      <c r="D321" t="str">
        <f t="shared" si="5"/>
        <v>Activos por diferencias temporarias deducibles</v>
      </c>
    </row>
    <row r="322" spans="2:4" x14ac:dyDescent="0.25">
      <c r="B322" t="s">
        <v>265</v>
      </c>
      <c r="C322" t="s">
        <v>930</v>
      </c>
      <c r="D322" t="str">
        <f t="shared" si="5"/>
        <v>Derechos por deducciones y bonificaciones pendientes de aplicar</v>
      </c>
    </row>
    <row r="323" spans="2:4" x14ac:dyDescent="0.25">
      <c r="B323" t="s">
        <v>266</v>
      </c>
      <c r="C323" t="s">
        <v>931</v>
      </c>
      <c r="D323" t="str">
        <f t="shared" si="5"/>
        <v>Crédito por pérdidas a compensar del ejercicio</v>
      </c>
    </row>
    <row r="324" spans="2:4" x14ac:dyDescent="0.25">
      <c r="B324" t="s">
        <v>267</v>
      </c>
      <c r="C324" t="s">
        <v>932</v>
      </c>
      <c r="D324" t="str">
        <f t="shared" si="5"/>
        <v>Hacienda Pública, acreedora por conceptos fiscales</v>
      </c>
    </row>
    <row r="325" spans="2:4" x14ac:dyDescent="0.25">
      <c r="B325" t="s">
        <v>268</v>
      </c>
      <c r="C325" t="s">
        <v>933</v>
      </c>
      <c r="D325" t="str">
        <f t="shared" si="5"/>
        <v>Hacienda Pública, acreedora por IVA</v>
      </c>
    </row>
    <row r="326" spans="2:4" x14ac:dyDescent="0.25">
      <c r="B326" t="s">
        <v>934</v>
      </c>
      <c r="C326" t="s">
        <v>935</v>
      </c>
      <c r="D326" t="str">
        <f t="shared" si="5"/>
        <v>Hacienda Pública, acreedora por retenciones practicadas</v>
      </c>
    </row>
    <row r="327" spans="2:4" x14ac:dyDescent="0.25">
      <c r="B327" t="s">
        <v>269</v>
      </c>
      <c r="C327" t="s">
        <v>936</v>
      </c>
      <c r="D327" t="str">
        <f t="shared" si="5"/>
        <v>Hacienda Pública, acreedora por impuesto sobre sociedades</v>
      </c>
    </row>
    <row r="328" spans="2:4" x14ac:dyDescent="0.25">
      <c r="B328" t="s">
        <v>937</v>
      </c>
      <c r="C328" t="s">
        <v>938</v>
      </c>
      <c r="D328" t="str">
        <f t="shared" si="5"/>
        <v>Hacienda Pública, acreedora por subvenciones a reintegrar</v>
      </c>
    </row>
    <row r="329" spans="2:4" x14ac:dyDescent="0.25">
      <c r="B329" t="s">
        <v>270</v>
      </c>
      <c r="C329" t="s">
        <v>939</v>
      </c>
      <c r="D329" t="str">
        <f t="shared" si="5"/>
        <v>Organismos de la Seguridad Social, acreedores</v>
      </c>
    </row>
    <row r="330" spans="2:4" x14ac:dyDescent="0.25">
      <c r="B330" t="s">
        <v>271</v>
      </c>
      <c r="C330" t="s">
        <v>940</v>
      </c>
      <c r="D330" t="str">
        <f t="shared" ref="D330:D393" si="6">MID(B330,FIND(".",B330)+2,LEN(B330))</f>
        <v>Hacienda Pública, IVA repercutido</v>
      </c>
    </row>
    <row r="331" spans="2:4" x14ac:dyDescent="0.25">
      <c r="B331" t="s">
        <v>272</v>
      </c>
      <c r="C331" t="s">
        <v>941</v>
      </c>
      <c r="D331" t="str">
        <f t="shared" si="6"/>
        <v>Pasivos por diferencias temporarias imponibles</v>
      </c>
    </row>
    <row r="332" spans="2:4" x14ac:dyDescent="0.25">
      <c r="B332" t="s">
        <v>273</v>
      </c>
      <c r="C332" t="s">
        <v>942</v>
      </c>
      <c r="D332" t="str">
        <f t="shared" si="6"/>
        <v>AJUSTES POR PERIODIFICACIÓN</v>
      </c>
    </row>
    <row r="333" spans="2:4" x14ac:dyDescent="0.25">
      <c r="B333" t="s">
        <v>274</v>
      </c>
      <c r="C333" t="s">
        <v>943</v>
      </c>
      <c r="D333" t="str">
        <f t="shared" si="6"/>
        <v>Gastos anticipados</v>
      </c>
    </row>
    <row r="334" spans="2:4" x14ac:dyDescent="0.25">
      <c r="B334" t="s">
        <v>275</v>
      </c>
      <c r="C334" t="s">
        <v>944</v>
      </c>
      <c r="D334" t="str">
        <f t="shared" si="6"/>
        <v>Ingresos anticipados</v>
      </c>
    </row>
    <row r="335" spans="2:4" x14ac:dyDescent="0.25">
      <c r="B335" t="s">
        <v>945</v>
      </c>
      <c r="C335" t="s">
        <v>946</v>
      </c>
      <c r="D335" t="str">
        <f t="shared" si="6"/>
        <v>DETERIORO DE VALOR DE CRÉDITOS COMERCIALES Y PROVISIONES A CORTO PLAZO</v>
      </c>
    </row>
    <row r="336" spans="2:4" x14ac:dyDescent="0.25">
      <c r="B336" t="s">
        <v>276</v>
      </c>
      <c r="C336" t="s">
        <v>947</v>
      </c>
      <c r="D336" t="str">
        <f t="shared" si="6"/>
        <v>Deterioro de valor de créditos por operaciones comerciales</v>
      </c>
    </row>
    <row r="337" spans="2:4" x14ac:dyDescent="0.25">
      <c r="B337" t="s">
        <v>948</v>
      </c>
      <c r="C337" t="s">
        <v>949</v>
      </c>
      <c r="D337" t="str">
        <f t="shared" si="6"/>
        <v>Deterioro de valor de créditos por operaciones comerciales con partes vinculadas</v>
      </c>
    </row>
    <row r="338" spans="2:4" x14ac:dyDescent="0.25">
      <c r="B338" t="s">
        <v>950</v>
      </c>
      <c r="C338" t="s">
        <v>951</v>
      </c>
      <c r="D338" t="str">
        <f t="shared" si="6"/>
        <v>Deterioro de valor de créditos por operaciones comerciales con empresas del grupo</v>
      </c>
    </row>
    <row r="339" spans="2:4" x14ac:dyDescent="0.25">
      <c r="B339" t="s">
        <v>952</v>
      </c>
      <c r="C339" t="s">
        <v>953</v>
      </c>
      <c r="D339" t="str">
        <f t="shared" si="6"/>
        <v>Deterioro de valor de créditos por operaciones comerciales con empresas asociadas</v>
      </c>
    </row>
    <row r="340" spans="2:4" x14ac:dyDescent="0.25">
      <c r="B340" t="s">
        <v>954</v>
      </c>
      <c r="C340" t="s">
        <v>955</v>
      </c>
      <c r="D340" t="str">
        <f t="shared" si="6"/>
        <v>Deterioro de valor de créditos por operaciones comerciales con otras partes vinculadas</v>
      </c>
    </row>
    <row r="341" spans="2:4" x14ac:dyDescent="0.25">
      <c r="B341" t="s">
        <v>277</v>
      </c>
      <c r="C341" t="s">
        <v>956</v>
      </c>
      <c r="D341" t="str">
        <f t="shared" si="6"/>
        <v>Provisiones por operaciones comerciales</v>
      </c>
    </row>
    <row r="342" spans="2:4" x14ac:dyDescent="0.25">
      <c r="B342" t="s">
        <v>278</v>
      </c>
      <c r="C342" t="s">
        <v>957</v>
      </c>
      <c r="D342" t="str">
        <f t="shared" si="6"/>
        <v>Provisión por contratos onerosos</v>
      </c>
    </row>
    <row r="343" spans="2:4" x14ac:dyDescent="0.25">
      <c r="B343" t="s">
        <v>279</v>
      </c>
      <c r="C343" t="s">
        <v>958</v>
      </c>
      <c r="D343" t="str">
        <f t="shared" si="6"/>
        <v>Provisión para otras operaciones comerciales</v>
      </c>
    </row>
    <row r="344" spans="2:4" x14ac:dyDescent="0.25">
      <c r="B344" t="s">
        <v>959</v>
      </c>
      <c r="C344" t="s">
        <v>960</v>
      </c>
      <c r="D344" t="str">
        <f t="shared" si="6"/>
        <v>EMPRÉSTITOS, DEUDAS CON CARÁCTERÍSTICAS ESPECIALES Y OTRAS EMISIONES ANÁLOGAS A CORTO PLAZO</v>
      </c>
    </row>
    <row r="345" spans="2:4" x14ac:dyDescent="0.25">
      <c r="B345" t="s">
        <v>280</v>
      </c>
      <c r="C345" t="s">
        <v>961</v>
      </c>
      <c r="D345" t="str">
        <f t="shared" si="6"/>
        <v>Obligaciones y bonos a corto plazo</v>
      </c>
    </row>
    <row r="346" spans="2:4" x14ac:dyDescent="0.25">
      <c r="B346" t="s">
        <v>962</v>
      </c>
      <c r="C346" t="s">
        <v>963</v>
      </c>
      <c r="D346" t="str">
        <f t="shared" si="6"/>
        <v>Acciones o participaciones a corto plazo consideradas como pasivos financieros</v>
      </c>
    </row>
    <row r="347" spans="2:4" x14ac:dyDescent="0.25">
      <c r="B347" t="s">
        <v>964</v>
      </c>
      <c r="C347" t="s">
        <v>965</v>
      </c>
      <c r="D347" t="str">
        <f t="shared" si="6"/>
        <v>Deudas representadas en otros valores negociables a corto</v>
      </c>
    </row>
    <row r="348" spans="2:4" x14ac:dyDescent="0.25">
      <c r="B348" t="s">
        <v>966</v>
      </c>
      <c r="C348" t="s">
        <v>967</v>
      </c>
      <c r="D348" t="str">
        <f t="shared" si="6"/>
        <v>Intereses a corto plazo de empréstitos y otras emisiones análogas</v>
      </c>
    </row>
    <row r="349" spans="2:4" x14ac:dyDescent="0.25">
      <c r="B349" t="s">
        <v>968</v>
      </c>
      <c r="C349" t="s">
        <v>969</v>
      </c>
      <c r="D349" t="str">
        <f t="shared" si="6"/>
        <v>Dividendos de acciones o participaciones consideradas como pasivos financieros</v>
      </c>
    </row>
    <row r="350" spans="2:4" x14ac:dyDescent="0.25">
      <c r="B350" t="s">
        <v>281</v>
      </c>
      <c r="C350" t="s">
        <v>970</v>
      </c>
      <c r="D350" t="str">
        <f t="shared" si="6"/>
        <v>Valores negociables amortizados</v>
      </c>
    </row>
    <row r="351" spans="2:4" x14ac:dyDescent="0.25">
      <c r="B351" t="s">
        <v>282</v>
      </c>
      <c r="C351" t="s">
        <v>971</v>
      </c>
      <c r="D351" t="str">
        <f t="shared" si="6"/>
        <v>Obligaciones y bonos amortizados</v>
      </c>
    </row>
    <row r="352" spans="2:4" x14ac:dyDescent="0.25">
      <c r="B352" t="s">
        <v>283</v>
      </c>
      <c r="C352" t="s">
        <v>972</v>
      </c>
      <c r="D352" t="str">
        <f t="shared" si="6"/>
        <v>Otros valores negociables amortizados</v>
      </c>
    </row>
    <row r="353" spans="2:4" x14ac:dyDescent="0.25">
      <c r="B353" t="s">
        <v>284</v>
      </c>
      <c r="C353" t="s">
        <v>973</v>
      </c>
      <c r="D353" t="str">
        <f t="shared" si="6"/>
        <v>DEUDAS A CORTO PLAZO CON PARTES VINCULADAS</v>
      </c>
    </row>
    <row r="354" spans="2:4" x14ac:dyDescent="0.25">
      <c r="B354" t="s">
        <v>285</v>
      </c>
      <c r="C354" t="s">
        <v>974</v>
      </c>
      <c r="D354" t="str">
        <f t="shared" si="6"/>
        <v>Deudas a corto plazo con entidades de crédito vinculadas</v>
      </c>
    </row>
    <row r="355" spans="2:4" x14ac:dyDescent="0.25">
      <c r="B355" t="s">
        <v>975</v>
      </c>
      <c r="C355" t="s">
        <v>976</v>
      </c>
      <c r="D355" t="str">
        <f t="shared" si="6"/>
        <v>Deudas a corto plazo con entidades de crédito, empresas del grupo</v>
      </c>
    </row>
    <row r="356" spans="2:4" x14ac:dyDescent="0.25">
      <c r="B356" t="s">
        <v>977</v>
      </c>
      <c r="C356" t="s">
        <v>978</v>
      </c>
      <c r="D356" t="str">
        <f t="shared" si="6"/>
        <v>Deudas a corto plazo con entidades de crédito, empresas asociadas</v>
      </c>
    </row>
    <row r="357" spans="2:4" x14ac:dyDescent="0.25">
      <c r="B357" t="s">
        <v>286</v>
      </c>
      <c r="C357" t="s">
        <v>979</v>
      </c>
      <c r="D357" t="str">
        <f t="shared" si="6"/>
        <v>Deudas a corto plazo con otras entidades de crédito vinculadas</v>
      </c>
    </row>
    <row r="358" spans="2:4" x14ac:dyDescent="0.25">
      <c r="B358" t="s">
        <v>287</v>
      </c>
      <c r="C358" t="s">
        <v>980</v>
      </c>
      <c r="D358" t="str">
        <f t="shared" si="6"/>
        <v>Proveedores de inmovilizado a corto plazo, partes vinculadas</v>
      </c>
    </row>
    <row r="359" spans="2:4" x14ac:dyDescent="0.25">
      <c r="B359" t="s">
        <v>981</v>
      </c>
      <c r="C359" t="s">
        <v>982</v>
      </c>
      <c r="D359" t="str">
        <f t="shared" si="6"/>
        <v>Proveedores de inmovilizado a corto plazo, empresas del grupo</v>
      </c>
    </row>
    <row r="360" spans="2:4" x14ac:dyDescent="0.25">
      <c r="B360" t="s">
        <v>288</v>
      </c>
      <c r="C360" t="s">
        <v>983</v>
      </c>
      <c r="D360" t="str">
        <f t="shared" si="6"/>
        <v>Proveedores de inmovilizado a corto plazo, empresas asociadas</v>
      </c>
    </row>
    <row r="361" spans="2:4" x14ac:dyDescent="0.25">
      <c r="B361" t="s">
        <v>289</v>
      </c>
      <c r="C361" t="s">
        <v>984</v>
      </c>
      <c r="D361" t="str">
        <f t="shared" si="6"/>
        <v>Proveedores de inmovilizado a corto plazo, otras partes vinculadas</v>
      </c>
    </row>
    <row r="362" spans="2:4" x14ac:dyDescent="0.25">
      <c r="B362" t="s">
        <v>290</v>
      </c>
      <c r="C362" t="s">
        <v>985</v>
      </c>
      <c r="D362" t="str">
        <f t="shared" si="6"/>
        <v>Acreedores por arrendamiento financiero a corto plazo,</v>
      </c>
    </row>
    <row r="363" spans="2:4" x14ac:dyDescent="0.25">
      <c r="B363" t="s">
        <v>291</v>
      </c>
      <c r="C363" t="s">
        <v>51</v>
      </c>
      <c r="D363" t="str">
        <f t="shared" si="6"/>
        <v/>
      </c>
    </row>
    <row r="364" spans="2:4" x14ac:dyDescent="0.25">
      <c r="B364" t="s">
        <v>986</v>
      </c>
      <c r="C364" t="s">
        <v>987</v>
      </c>
      <c r="D364" t="str">
        <f t="shared" si="6"/>
        <v>Acreedores por arrendamiento financiero a corto plazo, empresas del grupo</v>
      </c>
    </row>
    <row r="365" spans="2:4" x14ac:dyDescent="0.25">
      <c r="B365" t="s">
        <v>988</v>
      </c>
      <c r="C365" t="s">
        <v>989</v>
      </c>
      <c r="D365" t="str">
        <f t="shared" si="6"/>
        <v>Acreedores por arrendamiento financiero a corto plazo, empresas asociadas</v>
      </c>
    </row>
    <row r="366" spans="2:4" x14ac:dyDescent="0.25">
      <c r="B366" t="s">
        <v>990</v>
      </c>
      <c r="C366" t="s">
        <v>991</v>
      </c>
      <c r="D366" t="str">
        <f t="shared" si="6"/>
        <v>Acreedores por arrendamiento financiero a corto plazo, otras partes vinculadas</v>
      </c>
    </row>
    <row r="367" spans="2:4" x14ac:dyDescent="0.25">
      <c r="B367" t="s">
        <v>292</v>
      </c>
      <c r="C367" t="s">
        <v>992</v>
      </c>
      <c r="D367" t="str">
        <f t="shared" si="6"/>
        <v>Otras deudas a corto plazo con partes vinculadas</v>
      </c>
    </row>
    <row r="368" spans="2:4" x14ac:dyDescent="0.25">
      <c r="B368" t="s">
        <v>293</v>
      </c>
      <c r="C368" t="s">
        <v>993</v>
      </c>
      <c r="D368" t="str">
        <f t="shared" si="6"/>
        <v>Otras deudas a corto plazo con empresas del grupo</v>
      </c>
    </row>
    <row r="369" spans="2:4" x14ac:dyDescent="0.25">
      <c r="B369" t="s">
        <v>294</v>
      </c>
      <c r="C369" t="s">
        <v>994</v>
      </c>
      <c r="D369" t="str">
        <f t="shared" si="6"/>
        <v>Otras deudas a corto plazo con empresas asociadas</v>
      </c>
    </row>
    <row r="370" spans="2:4" x14ac:dyDescent="0.25">
      <c r="B370" t="s">
        <v>295</v>
      </c>
      <c r="C370" t="s">
        <v>995</v>
      </c>
      <c r="D370" t="str">
        <f t="shared" si="6"/>
        <v>Otras deudas a corto plazo con otras partes vinculadas</v>
      </c>
    </row>
    <row r="371" spans="2:4" x14ac:dyDescent="0.25">
      <c r="B371" t="s">
        <v>296</v>
      </c>
      <c r="C371" t="s">
        <v>996</v>
      </c>
      <c r="D371" t="str">
        <f t="shared" si="6"/>
        <v>Intereses a corto plazo de deudas con partes vinculadas</v>
      </c>
    </row>
    <row r="372" spans="2:4" x14ac:dyDescent="0.25">
      <c r="B372" t="s">
        <v>297</v>
      </c>
      <c r="C372" t="s">
        <v>997</v>
      </c>
      <c r="D372" t="str">
        <f t="shared" si="6"/>
        <v>Intereses a corto plazo de deudas, empresas del grupo</v>
      </c>
    </row>
    <row r="373" spans="2:4" x14ac:dyDescent="0.25">
      <c r="B373" t="s">
        <v>298</v>
      </c>
      <c r="C373" t="s">
        <v>998</v>
      </c>
      <c r="D373" t="str">
        <f t="shared" si="6"/>
        <v>Intereses a corto plazo de deudas, empresas asociadas</v>
      </c>
    </row>
    <row r="374" spans="2:4" x14ac:dyDescent="0.25">
      <c r="B374" t="s">
        <v>299</v>
      </c>
      <c r="C374" t="s">
        <v>999</v>
      </c>
      <c r="D374" t="str">
        <f t="shared" si="6"/>
        <v>Intereses a corto plazo de deudas, otras partes vinculadas</v>
      </c>
    </row>
    <row r="375" spans="2:4" x14ac:dyDescent="0.25">
      <c r="B375" t="s">
        <v>1000</v>
      </c>
      <c r="C375" t="s">
        <v>1001</v>
      </c>
      <c r="D375" t="str">
        <f t="shared" si="6"/>
        <v>DEUDAS A CORTO PLAZO POR PRÉSTAMOS RECIBIDOS Y OTROS CONCEPTOS</v>
      </c>
    </row>
    <row r="376" spans="2:4" x14ac:dyDescent="0.25">
      <c r="B376" t="s">
        <v>300</v>
      </c>
      <c r="C376" t="s">
        <v>1002</v>
      </c>
      <c r="D376" t="str">
        <f t="shared" si="6"/>
        <v>Deudas a corto plazo con entidades de crédito</v>
      </c>
    </row>
    <row r="377" spans="2:4" x14ac:dyDescent="0.25">
      <c r="B377" t="s">
        <v>301</v>
      </c>
      <c r="C377" t="s">
        <v>1003</v>
      </c>
      <c r="D377" t="str">
        <f t="shared" si="6"/>
        <v>Préstamos a corto plazo de entidades de crédito</v>
      </c>
    </row>
    <row r="378" spans="2:4" x14ac:dyDescent="0.25">
      <c r="B378" t="s">
        <v>302</v>
      </c>
      <c r="C378" t="s">
        <v>1004</v>
      </c>
      <c r="D378" t="str">
        <f t="shared" si="6"/>
        <v>Deudas a corto plazo por crédito dispuesto</v>
      </c>
    </row>
    <row r="379" spans="2:4" x14ac:dyDescent="0.25">
      <c r="B379" t="s">
        <v>303</v>
      </c>
      <c r="C379" t="s">
        <v>1005</v>
      </c>
      <c r="D379" t="str">
        <f t="shared" si="6"/>
        <v>Deudas por efectos descontados</v>
      </c>
    </row>
    <row r="380" spans="2:4" x14ac:dyDescent="0.25">
      <c r="B380" t="s">
        <v>304</v>
      </c>
      <c r="C380" t="s">
        <v>1006</v>
      </c>
      <c r="D380" t="str">
        <f t="shared" si="6"/>
        <v>Deudas por operaciones de “factoring”</v>
      </c>
    </row>
    <row r="381" spans="2:4" x14ac:dyDescent="0.25">
      <c r="B381" t="s">
        <v>305</v>
      </c>
      <c r="C381" t="s">
        <v>1007</v>
      </c>
      <c r="D381" t="str">
        <f t="shared" si="6"/>
        <v>Deudas a corto plazo</v>
      </c>
    </row>
    <row r="382" spans="2:4" x14ac:dyDescent="0.25">
      <c r="B382" t="s">
        <v>1008</v>
      </c>
      <c r="C382" t="s">
        <v>1009</v>
      </c>
      <c r="D382" t="str">
        <f t="shared" si="6"/>
        <v>Deudas a corto plazo transformables en subvenciones, donaciones y legados</v>
      </c>
    </row>
    <row r="383" spans="2:4" x14ac:dyDescent="0.25">
      <c r="B383" t="s">
        <v>306</v>
      </c>
      <c r="C383" t="s">
        <v>1010</v>
      </c>
      <c r="D383" t="str">
        <f t="shared" si="6"/>
        <v>Proveedores de inmovilizado a corto plazo</v>
      </c>
    </row>
    <row r="384" spans="2:4" x14ac:dyDescent="0.25">
      <c r="B384" t="s">
        <v>307</v>
      </c>
      <c r="C384" t="s">
        <v>1011</v>
      </c>
      <c r="D384" t="str">
        <f t="shared" si="6"/>
        <v>Acreedores por arrendamiento financiero a corto plazo</v>
      </c>
    </row>
    <row r="385" spans="2:4" x14ac:dyDescent="0.25">
      <c r="B385" t="s">
        <v>308</v>
      </c>
      <c r="C385" t="s">
        <v>1012</v>
      </c>
      <c r="D385" t="str">
        <f t="shared" si="6"/>
        <v>Efectos a pagar a corto plazo</v>
      </c>
    </row>
    <row r="386" spans="2:4" x14ac:dyDescent="0.25">
      <c r="B386" t="s">
        <v>309</v>
      </c>
      <c r="C386" t="s">
        <v>1013</v>
      </c>
      <c r="D386" t="str">
        <f t="shared" si="6"/>
        <v>Dividendo activo a pagar</v>
      </c>
    </row>
    <row r="387" spans="2:4" x14ac:dyDescent="0.25">
      <c r="B387" t="s">
        <v>310</v>
      </c>
      <c r="C387" t="s">
        <v>1014</v>
      </c>
      <c r="D387" t="str">
        <f t="shared" si="6"/>
        <v>Intereses a corto plazo de deudas con entidades de crédito</v>
      </c>
    </row>
    <row r="388" spans="2:4" x14ac:dyDescent="0.25">
      <c r="B388" t="s">
        <v>311</v>
      </c>
      <c r="C388" t="s">
        <v>1015</v>
      </c>
      <c r="D388" t="str">
        <f t="shared" si="6"/>
        <v>Intereses a corto plazo de deudas</v>
      </c>
    </row>
    <row r="389" spans="2:4" x14ac:dyDescent="0.25">
      <c r="B389" t="s">
        <v>312</v>
      </c>
      <c r="C389" t="s">
        <v>1016</v>
      </c>
      <c r="D389" t="str">
        <f t="shared" si="6"/>
        <v>Provisiones a corto plazo</v>
      </c>
    </row>
    <row r="390" spans="2:4" x14ac:dyDescent="0.25">
      <c r="B390" t="s">
        <v>313</v>
      </c>
      <c r="C390" t="s">
        <v>1017</v>
      </c>
      <c r="D390" t="str">
        <f t="shared" si="6"/>
        <v>Provisión a corto plazo para impuestos</v>
      </c>
    </row>
    <row r="391" spans="2:4" x14ac:dyDescent="0.25">
      <c r="B391" t="s">
        <v>314</v>
      </c>
      <c r="C391" t="s">
        <v>1018</v>
      </c>
      <c r="D391" t="str">
        <f t="shared" si="6"/>
        <v>Provisión a corto plazo para otras responsabilidades</v>
      </c>
    </row>
    <row r="392" spans="2:4" x14ac:dyDescent="0.25">
      <c r="B392" t="s">
        <v>1019</v>
      </c>
      <c r="C392" t="s">
        <v>1020</v>
      </c>
      <c r="D392" t="str">
        <f t="shared" si="6"/>
        <v>Provisión a corto plazo por desmantelamiento, retiro o rehabilitación del inmovilizado</v>
      </c>
    </row>
    <row r="393" spans="2:4" x14ac:dyDescent="0.25">
      <c r="B393" t="s">
        <v>315</v>
      </c>
      <c r="C393" t="s">
        <v>1021</v>
      </c>
      <c r="D393" t="str">
        <f t="shared" si="6"/>
        <v>Provisión a corto plazo para actuaciones medioambientales</v>
      </c>
    </row>
    <row r="394" spans="2:4" x14ac:dyDescent="0.25">
      <c r="B394" t="s">
        <v>316</v>
      </c>
      <c r="C394" t="s">
        <v>1022</v>
      </c>
      <c r="D394" t="str">
        <f t="shared" ref="D394:D455" si="7">MID(B394,FIND(".",B394)+2,LEN(B394))</f>
        <v>INVERSIONES FINANCIERAS A CORTO PLAZO EN PARTES VINCULADAS</v>
      </c>
    </row>
    <row r="395" spans="2:4" x14ac:dyDescent="0.25">
      <c r="B395" t="s">
        <v>317</v>
      </c>
      <c r="C395" t="s">
        <v>1023</v>
      </c>
      <c r="D395" t="str">
        <f t="shared" si="7"/>
        <v>Participaciones a corto plazo en partes vinculadas</v>
      </c>
    </row>
    <row r="396" spans="2:4" x14ac:dyDescent="0.25">
      <c r="B396" t="s">
        <v>318</v>
      </c>
      <c r="C396" t="s">
        <v>1024</v>
      </c>
      <c r="D396" t="str">
        <f t="shared" si="7"/>
        <v>Participaciones a corto plazo, en empresas del grupo</v>
      </c>
    </row>
    <row r="397" spans="2:4" x14ac:dyDescent="0.25">
      <c r="B397" t="s">
        <v>319</v>
      </c>
      <c r="C397" t="s">
        <v>1025</v>
      </c>
      <c r="D397" t="str">
        <f t="shared" si="7"/>
        <v>Participaciones a corto plazo, en empresas asociadas</v>
      </c>
    </row>
    <row r="398" spans="2:4" x14ac:dyDescent="0.25">
      <c r="B398" t="s">
        <v>320</v>
      </c>
      <c r="C398" t="s">
        <v>1026</v>
      </c>
      <c r="D398" t="str">
        <f t="shared" si="7"/>
        <v>Participaciones a corto plazo, en otras partes vinculadas</v>
      </c>
    </row>
    <row r="399" spans="2:4" x14ac:dyDescent="0.25">
      <c r="B399" t="s">
        <v>1027</v>
      </c>
      <c r="C399" t="s">
        <v>1028</v>
      </c>
      <c r="D399" t="str">
        <f t="shared" si="7"/>
        <v>Valores representativos de deuda a corto plazo de partes vinculadas</v>
      </c>
    </row>
    <row r="400" spans="2:4" x14ac:dyDescent="0.25">
      <c r="B400" t="s">
        <v>1029</v>
      </c>
      <c r="C400" t="s">
        <v>1030</v>
      </c>
      <c r="D400" t="str">
        <f t="shared" si="7"/>
        <v>Valores representativos de deuda a corto plazo de empresas del grupo</v>
      </c>
    </row>
    <row r="401" spans="2:4" x14ac:dyDescent="0.25">
      <c r="B401" t="s">
        <v>1031</v>
      </c>
      <c r="C401" t="s">
        <v>1032</v>
      </c>
      <c r="D401" t="str">
        <f t="shared" si="7"/>
        <v>Valores representativos de deuda a corto plazo de empresas asociadas</v>
      </c>
    </row>
    <row r="402" spans="2:4" x14ac:dyDescent="0.25">
      <c r="B402" t="s">
        <v>1033</v>
      </c>
      <c r="C402" t="s">
        <v>1034</v>
      </c>
      <c r="D402" t="str">
        <f t="shared" si="7"/>
        <v>Valores representativos de deuda a corto plazo de otras partes vinculadas</v>
      </c>
    </row>
    <row r="403" spans="2:4" x14ac:dyDescent="0.25">
      <c r="B403" t="s">
        <v>321</v>
      </c>
      <c r="C403" t="s">
        <v>1035</v>
      </c>
      <c r="D403" t="str">
        <f t="shared" si="7"/>
        <v>Créditos a corto plazo a partes vinculadas</v>
      </c>
    </row>
    <row r="404" spans="2:4" x14ac:dyDescent="0.25">
      <c r="B404" t="s">
        <v>322</v>
      </c>
      <c r="C404" t="s">
        <v>1036</v>
      </c>
      <c r="D404" t="str">
        <f t="shared" si="7"/>
        <v>Créditos a corto plazo a empresas del grupo</v>
      </c>
    </row>
    <row r="405" spans="2:4" x14ac:dyDescent="0.25">
      <c r="B405" t="s">
        <v>323</v>
      </c>
      <c r="C405" t="s">
        <v>1037</v>
      </c>
      <c r="D405" t="str">
        <f t="shared" si="7"/>
        <v>Créditos a corto plazo a empresas asociadas</v>
      </c>
    </row>
    <row r="406" spans="2:4" x14ac:dyDescent="0.25">
      <c r="B406" t="s">
        <v>324</v>
      </c>
      <c r="C406" t="s">
        <v>1038</v>
      </c>
      <c r="D406" t="str">
        <f t="shared" si="7"/>
        <v>Créditos a corto plazo a otras partes vinculadas</v>
      </c>
    </row>
    <row r="407" spans="2:4" x14ac:dyDescent="0.25">
      <c r="B407" t="s">
        <v>1039</v>
      </c>
      <c r="C407" t="s">
        <v>1040</v>
      </c>
      <c r="D407" t="str">
        <f t="shared" si="7"/>
        <v>Intereses a corto plazo de valores representativos de deuda de partes vinculadas</v>
      </c>
    </row>
    <row r="408" spans="2:4" x14ac:dyDescent="0.25">
      <c r="B408" t="s">
        <v>1041</v>
      </c>
      <c r="C408" t="s">
        <v>1042</v>
      </c>
      <c r="D408" t="str">
        <f t="shared" si="7"/>
        <v>Intereses a corto plazo de valores representativos de deuda en empresas del grupo</v>
      </c>
    </row>
    <row r="409" spans="2:4" x14ac:dyDescent="0.25">
      <c r="B409" t="s">
        <v>1043</v>
      </c>
      <c r="C409" t="s">
        <v>1044</v>
      </c>
      <c r="D409" t="str">
        <f t="shared" si="7"/>
        <v>Intereses a corto plazo de valores representativos de deuda en empresas asociadas</v>
      </c>
    </row>
    <row r="410" spans="2:4" x14ac:dyDescent="0.25">
      <c r="B410" t="s">
        <v>1045</v>
      </c>
      <c r="C410" t="s">
        <v>1046</v>
      </c>
      <c r="D410" t="str">
        <f t="shared" si="7"/>
        <v>Intereses a corto plazo de valores representativos de deuda en otras partes vinculadas</v>
      </c>
    </row>
    <row r="411" spans="2:4" x14ac:dyDescent="0.25">
      <c r="B411" t="s">
        <v>325</v>
      </c>
      <c r="C411" t="s">
        <v>1047</v>
      </c>
      <c r="D411" t="str">
        <f t="shared" si="7"/>
        <v>Intereses a corto plazo de créditos a partes vinculadas</v>
      </c>
    </row>
    <row r="412" spans="2:4" x14ac:dyDescent="0.25">
      <c r="B412" t="s">
        <v>326</v>
      </c>
      <c r="C412" t="s">
        <v>1048</v>
      </c>
      <c r="D412" t="str">
        <f t="shared" si="7"/>
        <v>Intereses a corto plazo de créditos a empresas del grupo</v>
      </c>
    </row>
    <row r="413" spans="2:4" x14ac:dyDescent="0.25">
      <c r="B413" t="s">
        <v>327</v>
      </c>
      <c r="C413" t="s">
        <v>1049</v>
      </c>
      <c r="D413" t="str">
        <f t="shared" si="7"/>
        <v>Intereses a corto plazo de créditos a empresas asociadas</v>
      </c>
    </row>
    <row r="414" spans="2:4" x14ac:dyDescent="0.25">
      <c r="B414" t="s">
        <v>328</v>
      </c>
      <c r="C414" t="s">
        <v>1050</v>
      </c>
      <c r="D414" t="str">
        <f t="shared" si="7"/>
        <v>Intereses a corto plazo de créditos a otras partes vinculadas</v>
      </c>
    </row>
    <row r="415" spans="2:4" x14ac:dyDescent="0.25">
      <c r="B415" t="s">
        <v>329</v>
      </c>
      <c r="C415" t="s">
        <v>1051</v>
      </c>
      <c r="D415" t="str">
        <f t="shared" si="7"/>
        <v>Dividendo a cobrar de inversiones financieras en partes vinculadas</v>
      </c>
    </row>
    <row r="416" spans="2:4" x14ac:dyDescent="0.25">
      <c r="B416" t="s">
        <v>330</v>
      </c>
      <c r="C416" t="s">
        <v>1052</v>
      </c>
      <c r="D416" t="str">
        <f t="shared" si="7"/>
        <v>Dividendo a cobrar de empresas del grupo</v>
      </c>
    </row>
    <row r="417" spans="2:4" x14ac:dyDescent="0.25">
      <c r="B417" t="s">
        <v>331</v>
      </c>
      <c r="C417" t="s">
        <v>1053</v>
      </c>
      <c r="D417" t="str">
        <f t="shared" si="7"/>
        <v>Dividendo a cobrar de empresas asociadas</v>
      </c>
    </row>
    <row r="418" spans="2:4" x14ac:dyDescent="0.25">
      <c r="B418" t="s">
        <v>332</v>
      </c>
      <c r="C418" t="s">
        <v>1054</v>
      </c>
      <c r="D418" t="str">
        <f t="shared" si="7"/>
        <v>Dividendo a cobrar de otras partes vinculadas</v>
      </c>
    </row>
    <row r="419" spans="2:4" x14ac:dyDescent="0.25">
      <c r="B419" t="s">
        <v>1055</v>
      </c>
      <c r="C419" t="s">
        <v>1056</v>
      </c>
      <c r="D419" t="str">
        <f t="shared" si="7"/>
        <v>D esembolsos pendientes sobre participaciones a corto plazo en partes vinculadas</v>
      </c>
    </row>
    <row r="420" spans="2:4" x14ac:dyDescent="0.25">
      <c r="B420" t="s">
        <v>1553</v>
      </c>
      <c r="C420" t="s">
        <v>1057</v>
      </c>
      <c r="D420" t="str">
        <f t="shared" si="7"/>
        <v>Desembolsos pendientes sobre participaciones a corto plazo en empresas del grupo</v>
      </c>
    </row>
    <row r="421" spans="2:4" x14ac:dyDescent="0.25">
      <c r="B421" t="s">
        <v>1554</v>
      </c>
      <c r="C421" t="s">
        <v>1058</v>
      </c>
      <c r="D421" t="str">
        <f t="shared" si="7"/>
        <v>Desembolsos pendientes sobre participaciones a corto plazo en empresas asociadas</v>
      </c>
    </row>
    <row r="422" spans="2:4" x14ac:dyDescent="0.25">
      <c r="B422" t="s">
        <v>1059</v>
      </c>
      <c r="C422" t="s">
        <v>1060</v>
      </c>
      <c r="D422" t="str">
        <f t="shared" si="7"/>
        <v>Desembolsos pendientes sobre participaciones a corto plazo en otras partes vinculadas</v>
      </c>
    </row>
    <row r="423" spans="2:4" x14ac:dyDescent="0.25">
      <c r="B423" t="s">
        <v>333</v>
      </c>
      <c r="C423" t="s">
        <v>1061</v>
      </c>
      <c r="D423" t="str">
        <f t="shared" si="7"/>
        <v>OTRAS INVERSIONES FINANCIERAS A CORTO PLAZO</v>
      </c>
    </row>
    <row r="424" spans="2:4" x14ac:dyDescent="0.25">
      <c r="B424" t="s">
        <v>1062</v>
      </c>
      <c r="C424" t="s">
        <v>1063</v>
      </c>
      <c r="D424" t="str">
        <f t="shared" si="7"/>
        <v>Inversiones financieras a corto plazo en instrumentos de patrimonio</v>
      </c>
    </row>
    <row r="425" spans="2:4" x14ac:dyDescent="0.25">
      <c r="B425" t="s">
        <v>334</v>
      </c>
      <c r="C425" t="s">
        <v>1064</v>
      </c>
      <c r="D425" t="str">
        <f t="shared" si="7"/>
        <v>Valores representativos de deuda a corto plazo</v>
      </c>
    </row>
    <row r="426" spans="2:4" x14ac:dyDescent="0.25">
      <c r="B426" t="s">
        <v>335</v>
      </c>
      <c r="C426" t="s">
        <v>1065</v>
      </c>
      <c r="D426" t="str">
        <f t="shared" si="7"/>
        <v>Créditos a corto plazo</v>
      </c>
    </row>
    <row r="427" spans="2:4" x14ac:dyDescent="0.25">
      <c r="B427" t="s">
        <v>336</v>
      </c>
      <c r="C427" t="s">
        <v>1066</v>
      </c>
      <c r="D427" t="str">
        <f t="shared" si="7"/>
        <v>Créditos a corto plazo por enajenación de inmovilizado</v>
      </c>
    </row>
    <row r="428" spans="2:4" x14ac:dyDescent="0.25">
      <c r="B428" t="s">
        <v>337</v>
      </c>
      <c r="C428" t="s">
        <v>1067</v>
      </c>
      <c r="D428" t="str">
        <f t="shared" si="7"/>
        <v>Créditos a corto plazo al personal</v>
      </c>
    </row>
    <row r="429" spans="2:4" x14ac:dyDescent="0.25">
      <c r="B429" t="s">
        <v>338</v>
      </c>
      <c r="C429" t="s">
        <v>1068</v>
      </c>
      <c r="D429" t="str">
        <f t="shared" si="7"/>
        <v>D ividendo a cobrar</v>
      </c>
    </row>
    <row r="430" spans="2:4" x14ac:dyDescent="0.25">
      <c r="B430" t="s">
        <v>339</v>
      </c>
      <c r="C430" t="s">
        <v>1069</v>
      </c>
      <c r="D430" t="str">
        <f t="shared" si="7"/>
        <v>Intereses a corto plazo de valores representativos de deuda</v>
      </c>
    </row>
    <row r="431" spans="2:4" x14ac:dyDescent="0.25">
      <c r="B431" t="s">
        <v>340</v>
      </c>
      <c r="C431" t="s">
        <v>1070</v>
      </c>
      <c r="D431" t="str">
        <f t="shared" si="7"/>
        <v>Intereses a corto plazo de créditos</v>
      </c>
    </row>
    <row r="432" spans="2:4" x14ac:dyDescent="0.25">
      <c r="B432" t="s">
        <v>341</v>
      </c>
      <c r="C432" t="s">
        <v>1071</v>
      </c>
      <c r="D432" t="str">
        <f t="shared" si="7"/>
        <v>Imposiciones a corto plazo</v>
      </c>
    </row>
    <row r="433" spans="2:4" x14ac:dyDescent="0.25">
      <c r="B433" t="s">
        <v>1072</v>
      </c>
      <c r="C433" t="s">
        <v>1073</v>
      </c>
      <c r="D433" t="str">
        <f t="shared" si="7"/>
        <v>Desembolsos pendientes sobre participaciones en el patrimonio neto a corto plazo</v>
      </c>
    </row>
    <row r="434" spans="2:4" x14ac:dyDescent="0.25">
      <c r="B434" t="s">
        <v>342</v>
      </c>
      <c r="C434" t="s">
        <v>1074</v>
      </c>
      <c r="D434" t="str">
        <f t="shared" si="7"/>
        <v>OTRAS CUENTAS NO BANCARIAS</v>
      </c>
    </row>
    <row r="435" spans="2:4" x14ac:dyDescent="0.25">
      <c r="B435" t="s">
        <v>343</v>
      </c>
      <c r="C435" t="s">
        <v>1075</v>
      </c>
      <c r="D435" t="str">
        <f t="shared" si="7"/>
        <v>Titular de la explotación</v>
      </c>
    </row>
    <row r="436" spans="2:4" x14ac:dyDescent="0.25">
      <c r="B436" t="s">
        <v>344</v>
      </c>
      <c r="C436" t="s">
        <v>1076</v>
      </c>
      <c r="D436" t="str">
        <f t="shared" si="7"/>
        <v>Cuenta corriente con socios y administradores</v>
      </c>
    </row>
    <row r="437" spans="2:4" x14ac:dyDescent="0.25">
      <c r="B437" t="s">
        <v>345</v>
      </c>
      <c r="C437" t="s">
        <v>1077</v>
      </c>
      <c r="D437" t="str">
        <f t="shared" si="7"/>
        <v>Cuenta corriente con otras personas y entidades vinculadas</v>
      </c>
    </row>
    <row r="438" spans="2:4" x14ac:dyDescent="0.25">
      <c r="B438" t="s">
        <v>346</v>
      </c>
      <c r="C438" t="s">
        <v>1078</v>
      </c>
      <c r="D438" t="str">
        <f t="shared" si="7"/>
        <v>Cuenta corriente con empresas del grupo</v>
      </c>
    </row>
    <row r="439" spans="2:4" x14ac:dyDescent="0.25">
      <c r="B439" t="s">
        <v>347</v>
      </c>
      <c r="C439" t="s">
        <v>1079</v>
      </c>
      <c r="D439" t="str">
        <f t="shared" si="7"/>
        <v>Cuenta corriente con empresas asociadas</v>
      </c>
    </row>
    <row r="440" spans="2:4" x14ac:dyDescent="0.25">
      <c r="B440" t="s">
        <v>348</v>
      </c>
      <c r="C440" t="s">
        <v>1080</v>
      </c>
      <c r="D440" t="str">
        <f t="shared" si="7"/>
        <v>Cuenta corriente con otras partes vinculadas</v>
      </c>
    </row>
    <row r="441" spans="2:4" x14ac:dyDescent="0.25">
      <c r="B441" t="s">
        <v>1081</v>
      </c>
      <c r="C441" t="s">
        <v>1082</v>
      </c>
      <c r="D441" t="str">
        <f t="shared" si="7"/>
        <v>Cuenta corriente con uniones temporales de empresas y comunidades de bienes</v>
      </c>
    </row>
    <row r="442" spans="2:4" x14ac:dyDescent="0.25">
      <c r="B442" t="s">
        <v>349</v>
      </c>
      <c r="C442" t="s">
        <v>1083</v>
      </c>
      <c r="D442" t="str">
        <f t="shared" si="7"/>
        <v>Partidas pendientes de aplicación</v>
      </c>
    </row>
    <row r="443" spans="2:4" x14ac:dyDescent="0.25">
      <c r="B443" t="s">
        <v>1084</v>
      </c>
      <c r="C443" t="s">
        <v>1085</v>
      </c>
      <c r="D443" t="str">
        <f t="shared" si="7"/>
        <v>Desembolsos exigidos sobre participaciones en el patrimonio neto</v>
      </c>
    </row>
    <row r="444" spans="2:4" x14ac:dyDescent="0.25">
      <c r="B444" t="s">
        <v>1086</v>
      </c>
      <c r="C444" t="s">
        <v>1087</v>
      </c>
      <c r="D444" t="str">
        <f t="shared" si="7"/>
        <v>Desembolsos exigidos sobre participaciones, empresas del grupo</v>
      </c>
    </row>
    <row r="445" spans="2:4" x14ac:dyDescent="0.25">
      <c r="B445" t="s">
        <v>350</v>
      </c>
      <c r="C445" t="s">
        <v>1088</v>
      </c>
      <c r="D445" t="str">
        <f t="shared" si="7"/>
        <v>Desembolsos exigidos sobre participaciones, empresas asociadas</v>
      </c>
    </row>
    <row r="446" spans="2:4" x14ac:dyDescent="0.25">
      <c r="B446" t="s">
        <v>351</v>
      </c>
      <c r="C446" t="s">
        <v>1089</v>
      </c>
      <c r="D446" t="str">
        <f t="shared" si="7"/>
        <v>Desembolsos exigidos sobre participaciones, otras partes vinculadas</v>
      </c>
    </row>
    <row r="447" spans="2:4" x14ac:dyDescent="0.25">
      <c r="B447" t="s">
        <v>352</v>
      </c>
      <c r="C447" t="s">
        <v>1090</v>
      </c>
      <c r="D447" t="str">
        <f t="shared" si="7"/>
        <v>Desembolsos exigidos sobre participaciones de otras empresas</v>
      </c>
    </row>
    <row r="448" spans="2:4" x14ac:dyDescent="0.25">
      <c r="B448" t="s">
        <v>353</v>
      </c>
      <c r="C448" t="s">
        <v>1091</v>
      </c>
      <c r="D448" t="str">
        <f t="shared" si="7"/>
        <v>Dividendo activo a cuenta</v>
      </c>
    </row>
    <row r="449" spans="2:4" x14ac:dyDescent="0.25">
      <c r="B449" t="s">
        <v>354</v>
      </c>
      <c r="C449" t="s">
        <v>1092</v>
      </c>
      <c r="D449" t="str">
        <f t="shared" si="7"/>
        <v>Socios por desembolsos exigidos</v>
      </c>
    </row>
    <row r="450" spans="2:4" x14ac:dyDescent="0.25">
      <c r="B450" t="s">
        <v>1093</v>
      </c>
      <c r="C450" t="s">
        <v>1094</v>
      </c>
      <c r="D450" t="str">
        <f t="shared" si="7"/>
        <v>Socios por desembolsos exigidos sobre acciones o participaciones ordinarias</v>
      </c>
    </row>
    <row r="451" spans="2:4" x14ac:dyDescent="0.25">
      <c r="B451" t="s">
        <v>1095</v>
      </c>
      <c r="C451" t="s">
        <v>1096</v>
      </c>
      <c r="D451" t="str">
        <f t="shared" si="7"/>
        <v>Socios por desembolsos exigidos sobre acciones o participaciones consideradas como pasivos financieros</v>
      </c>
    </row>
    <row r="452" spans="2:4" x14ac:dyDescent="0.25">
      <c r="B452" t="s">
        <v>355</v>
      </c>
      <c r="C452" t="s">
        <v>1097</v>
      </c>
      <c r="D452" t="str">
        <f t="shared" si="7"/>
        <v>Derivados financieros a corto plazo</v>
      </c>
    </row>
    <row r="453" spans="2:4" x14ac:dyDescent="0.25">
      <c r="B453" t="s">
        <v>356</v>
      </c>
      <c r="C453" t="s">
        <v>1098</v>
      </c>
      <c r="D453" t="str">
        <f t="shared" si="7"/>
        <v>Activos por derivados financieros a corto plazo</v>
      </c>
    </row>
    <row r="454" spans="2:4" x14ac:dyDescent="0.25">
      <c r="B454" t="s">
        <v>357</v>
      </c>
      <c r="C454" t="s">
        <v>1099</v>
      </c>
      <c r="D454" t="str">
        <f t="shared" si="7"/>
        <v>Pasivos por derivados financieros a corto plazo</v>
      </c>
    </row>
    <row r="455" spans="2:4" x14ac:dyDescent="0.25">
      <c r="B455" t="s">
        <v>1100</v>
      </c>
      <c r="C455" t="s">
        <v>1101</v>
      </c>
      <c r="D455" t="str">
        <f t="shared" si="7"/>
        <v>FIANZAS Y DEPÓSITOS RECIBIDOS Y CONSTITUIDOS A CORTO</v>
      </c>
    </row>
    <row r="456" spans="2:4" x14ac:dyDescent="0.25">
      <c r="B456" t="s">
        <v>358</v>
      </c>
      <c r="C456" t="s">
        <v>1102</v>
      </c>
      <c r="D456" t="str">
        <f t="shared" ref="D456:D519" si="8">MID(B456,FIND(".",B456)+2,LEN(B456))</f>
        <v>Fianzas recibidas a corto plazo</v>
      </c>
    </row>
    <row r="457" spans="2:4" x14ac:dyDescent="0.25">
      <c r="B457" t="s">
        <v>359</v>
      </c>
      <c r="C457" t="s">
        <v>1103</v>
      </c>
      <c r="D457" t="str">
        <f t="shared" si="8"/>
        <v>Depósitos recibidos a corto plazo</v>
      </c>
    </row>
    <row r="458" spans="2:4" x14ac:dyDescent="0.25">
      <c r="B458" t="s">
        <v>360</v>
      </c>
      <c r="C458" t="s">
        <v>1104</v>
      </c>
      <c r="D458" t="str">
        <f t="shared" si="8"/>
        <v>Fianzas constituidas a corto plazo</v>
      </c>
    </row>
    <row r="459" spans="2:4" x14ac:dyDescent="0.25">
      <c r="B459" t="s">
        <v>361</v>
      </c>
      <c r="C459" t="s">
        <v>1105</v>
      </c>
      <c r="D459" t="str">
        <f t="shared" si="8"/>
        <v>Depósitos constituidos a corto plazo</v>
      </c>
    </row>
    <row r="460" spans="2:4" x14ac:dyDescent="0.25">
      <c r="B460" t="s">
        <v>362</v>
      </c>
      <c r="C460" t="s">
        <v>1106</v>
      </c>
      <c r="D460" t="str">
        <f t="shared" si="8"/>
        <v>Intereses pagados por anticipado</v>
      </c>
    </row>
    <row r="461" spans="2:4" x14ac:dyDescent="0.25">
      <c r="B461" t="s">
        <v>363</v>
      </c>
      <c r="C461" t="s">
        <v>1107</v>
      </c>
      <c r="D461" t="str">
        <f t="shared" si="8"/>
        <v>Intereses cobrados por anticipado</v>
      </c>
    </row>
    <row r="462" spans="2:4" x14ac:dyDescent="0.25">
      <c r="B462" t="s">
        <v>364</v>
      </c>
      <c r="C462" t="s">
        <v>1108</v>
      </c>
      <c r="D462" t="str">
        <f t="shared" si="8"/>
        <v>TESORERÍA</v>
      </c>
    </row>
    <row r="463" spans="2:4" x14ac:dyDescent="0.25">
      <c r="B463" t="s">
        <v>365</v>
      </c>
      <c r="C463" t="s">
        <v>1109</v>
      </c>
      <c r="D463" t="str">
        <f t="shared" si="8"/>
        <v>Caja, euros</v>
      </c>
    </row>
    <row r="464" spans="2:4" x14ac:dyDescent="0.25">
      <c r="B464" t="s">
        <v>366</v>
      </c>
      <c r="C464" t="s">
        <v>1110</v>
      </c>
      <c r="D464" t="str">
        <f t="shared" si="8"/>
        <v>Caja, moneda extranjera</v>
      </c>
    </row>
    <row r="465" spans="2:4" x14ac:dyDescent="0.25">
      <c r="B465" t="s">
        <v>1111</v>
      </c>
      <c r="C465" t="s">
        <v>1112</v>
      </c>
      <c r="D465" t="str">
        <f t="shared" si="8"/>
        <v>Bancos e instituciones de crédito c/c vista, euros</v>
      </c>
    </row>
    <row r="466" spans="2:4" x14ac:dyDescent="0.25">
      <c r="B466" t="s">
        <v>1113</v>
      </c>
      <c r="C466" t="s">
        <v>1114</v>
      </c>
      <c r="D466" t="str">
        <f t="shared" si="8"/>
        <v>Bancos e instituciones de crédito c/c vista, moneda extranjera</v>
      </c>
    </row>
    <row r="467" spans="2:4" x14ac:dyDescent="0.25">
      <c r="B467" t="s">
        <v>367</v>
      </c>
      <c r="C467" t="s">
        <v>1115</v>
      </c>
      <c r="D467" t="str">
        <f t="shared" si="8"/>
        <v>Bancos e instituciones de crédito, cuentas de ahorro, euros</v>
      </c>
    </row>
    <row r="468" spans="2:4" x14ac:dyDescent="0.25">
      <c r="B468" t="s">
        <v>1116</v>
      </c>
      <c r="C468" t="s">
        <v>1117</v>
      </c>
      <c r="D468" t="str">
        <f t="shared" si="8"/>
        <v>Bancos e instituciones de crédito, cuentas de ahorro, moneda extranjera</v>
      </c>
    </row>
    <row r="469" spans="2:4" x14ac:dyDescent="0.25">
      <c r="B469" t="s">
        <v>368</v>
      </c>
      <c r="C469" t="s">
        <v>1118</v>
      </c>
      <c r="D469" t="str">
        <f t="shared" si="8"/>
        <v>Inversiones a corto plazo de gran liquidez</v>
      </c>
    </row>
    <row r="470" spans="2:4" x14ac:dyDescent="0.25">
      <c r="B470" t="s">
        <v>1119</v>
      </c>
      <c r="C470" t="s">
        <v>1120</v>
      </c>
      <c r="D470" t="str">
        <f t="shared" si="8"/>
        <v>DETERIORO DEL VALOR DE INVERSIONES FINANCIERAS A CORTO PLAZO</v>
      </c>
    </row>
    <row r="471" spans="2:4" x14ac:dyDescent="0.25">
      <c r="B471" t="s">
        <v>1121</v>
      </c>
      <c r="C471" t="s">
        <v>1122</v>
      </c>
      <c r="D471" t="str">
        <f t="shared" si="8"/>
        <v>D eterioro de valor de participaciones a corto plazo en partes vinculadas</v>
      </c>
    </row>
    <row r="472" spans="2:4" x14ac:dyDescent="0.25">
      <c r="B472" t="s">
        <v>1123</v>
      </c>
      <c r="C472" t="s">
        <v>1124</v>
      </c>
      <c r="D472" t="str">
        <f t="shared" si="8"/>
        <v>Deterioro de valor de participaciones a corto plazo en empresas del grupo</v>
      </c>
    </row>
    <row r="473" spans="2:4" x14ac:dyDescent="0.25">
      <c r="B473" t="s">
        <v>1125</v>
      </c>
      <c r="C473" t="s">
        <v>1126</v>
      </c>
      <c r="D473" t="str">
        <f t="shared" si="8"/>
        <v>Deterioro de valor de participaciones a corto plazo en empresas asociadas</v>
      </c>
    </row>
    <row r="474" spans="2:4" x14ac:dyDescent="0.25">
      <c r="B474" t="s">
        <v>1127</v>
      </c>
      <c r="C474" t="s">
        <v>1128</v>
      </c>
      <c r="D474" t="str">
        <f t="shared" si="8"/>
        <v>Deterioro de valor de participaciones a corto plazo en otras partes vinculadas</v>
      </c>
    </row>
    <row r="475" spans="2:4" x14ac:dyDescent="0.25">
      <c r="B475" t="s">
        <v>1555</v>
      </c>
      <c r="C475" t="s">
        <v>1129</v>
      </c>
      <c r="D475" t="str">
        <f t="shared" si="8"/>
        <v>Deterioro de valor de valores representativos de deuda a corto plazo de partes vinculadas</v>
      </c>
    </row>
    <row r="476" spans="2:4" x14ac:dyDescent="0.25">
      <c r="B476" t="s">
        <v>1130</v>
      </c>
      <c r="C476" t="s">
        <v>1131</v>
      </c>
      <c r="D476" t="str">
        <f t="shared" si="8"/>
        <v>Deterioro de valor de valores representativos de deuda a corto plazo de empresas del grupo</v>
      </c>
    </row>
    <row r="477" spans="2:4" x14ac:dyDescent="0.25">
      <c r="B477" t="s">
        <v>1132</v>
      </c>
      <c r="C477" t="s">
        <v>1133</v>
      </c>
      <c r="D477" t="str">
        <f t="shared" si="8"/>
        <v>Deterioro de valor de valores representativos de deuda a corto plazo de empresas asociadas</v>
      </c>
    </row>
    <row r="478" spans="2:4" x14ac:dyDescent="0.25">
      <c r="B478" t="s">
        <v>1134</v>
      </c>
      <c r="C478" t="s">
        <v>1135</v>
      </c>
      <c r="D478" t="str">
        <f t="shared" si="8"/>
        <v>Deterioro de valor de valores representativos de deuda a corto plazo de otras partes vinculadas</v>
      </c>
    </row>
    <row r="479" spans="2:4" x14ac:dyDescent="0.25">
      <c r="B479" t="s">
        <v>369</v>
      </c>
      <c r="C479" t="s">
        <v>1136</v>
      </c>
      <c r="D479" t="str">
        <f t="shared" si="8"/>
        <v>Deterioro de valor de créditos a corto plazo a partes vinculadas</v>
      </c>
    </row>
    <row r="480" spans="2:4" x14ac:dyDescent="0.25">
      <c r="B480" t="s">
        <v>370</v>
      </c>
      <c r="C480" t="s">
        <v>1137</v>
      </c>
      <c r="D480" t="str">
        <f t="shared" si="8"/>
        <v>Deterioro de valor de créditos a corto plazo a empresas del grupo</v>
      </c>
    </row>
    <row r="481" spans="2:4" x14ac:dyDescent="0.25">
      <c r="B481" t="s">
        <v>371</v>
      </c>
      <c r="C481" t="s">
        <v>1138</v>
      </c>
      <c r="D481" t="str">
        <f t="shared" si="8"/>
        <v>Deterioro de valor de créditos a corto plazo a empresas asociadas</v>
      </c>
    </row>
    <row r="482" spans="2:4" x14ac:dyDescent="0.25">
      <c r="B482" t="s">
        <v>1139</v>
      </c>
      <c r="C482" t="s">
        <v>1140</v>
      </c>
      <c r="D482" t="str">
        <f t="shared" si="8"/>
        <v>Deterioro de valor de créditos a corto plazo a otras partes vinculadas</v>
      </c>
    </row>
    <row r="483" spans="2:4" x14ac:dyDescent="0.25">
      <c r="B483" t="s">
        <v>372</v>
      </c>
      <c r="C483" t="s">
        <v>1141</v>
      </c>
      <c r="D483" t="str">
        <f t="shared" si="8"/>
        <v>Deterioro de valor de participaciones a corto plazo</v>
      </c>
    </row>
    <row r="484" spans="2:4" x14ac:dyDescent="0.25">
      <c r="B484" t="s">
        <v>1142</v>
      </c>
      <c r="C484" t="s">
        <v>1143</v>
      </c>
      <c r="D484" t="str">
        <f t="shared" si="8"/>
        <v>Deterioro de valor de valores representativos de deuda a corto plazo</v>
      </c>
    </row>
    <row r="485" spans="2:4" x14ac:dyDescent="0.25">
      <c r="B485" t="s">
        <v>373</v>
      </c>
      <c r="C485" t="s">
        <v>1144</v>
      </c>
      <c r="D485" t="str">
        <f t="shared" si="8"/>
        <v>Deterioro de valor de créditos a corto plazo</v>
      </c>
    </row>
    <row r="486" spans="2:4" x14ac:dyDescent="0.25">
      <c r="B486" t="s">
        <v>374</v>
      </c>
      <c r="C486" t="s">
        <v>1145</v>
      </c>
      <c r="D486" t="str">
        <f t="shared" si="8"/>
        <v>COMPRAS</v>
      </c>
    </row>
    <row r="487" spans="2:4" x14ac:dyDescent="0.25">
      <c r="B487" t="s">
        <v>375</v>
      </c>
      <c r="C487" t="s">
        <v>1146</v>
      </c>
      <c r="D487" t="str">
        <f t="shared" si="8"/>
        <v>Compras de mercaderías</v>
      </c>
    </row>
    <row r="488" spans="2:4" x14ac:dyDescent="0.25">
      <c r="B488" t="s">
        <v>376</v>
      </c>
      <c r="C488" t="s">
        <v>1147</v>
      </c>
      <c r="D488" t="str">
        <f t="shared" si="8"/>
        <v>Compras de materias primas</v>
      </c>
    </row>
    <row r="489" spans="2:4" x14ac:dyDescent="0.25">
      <c r="B489" t="s">
        <v>377</v>
      </c>
      <c r="C489" t="s">
        <v>1148</v>
      </c>
      <c r="D489" t="str">
        <f t="shared" si="8"/>
        <v>Compras de otros aprovisionamientos</v>
      </c>
    </row>
    <row r="490" spans="2:4" x14ac:dyDescent="0.25">
      <c r="B490" t="s">
        <v>378</v>
      </c>
      <c r="C490" t="s">
        <v>1149</v>
      </c>
      <c r="D490" t="str">
        <f t="shared" si="8"/>
        <v>Descuentos sobre compras por pronto pago</v>
      </c>
    </row>
    <row r="491" spans="2:4" x14ac:dyDescent="0.25">
      <c r="B491" t="s">
        <v>379</v>
      </c>
      <c r="C491" t="s">
        <v>1150</v>
      </c>
      <c r="D491" t="str">
        <f t="shared" si="8"/>
        <v>Descuentos sobre compras por pronto pago de mercaderías</v>
      </c>
    </row>
    <row r="492" spans="2:4" x14ac:dyDescent="0.25">
      <c r="B492" t="s">
        <v>1151</v>
      </c>
      <c r="C492" t="s">
        <v>1152</v>
      </c>
      <c r="D492" t="str">
        <f t="shared" si="8"/>
        <v>Descuentos sobre compras por pronto pago de materias primas</v>
      </c>
    </row>
    <row r="493" spans="2:4" x14ac:dyDescent="0.25">
      <c r="B493" t="s">
        <v>380</v>
      </c>
      <c r="C493" t="s">
        <v>1153</v>
      </c>
      <c r="D493" t="str">
        <f t="shared" si="8"/>
        <v>Descuentos sobre compras por pronto pago de otros aprovisionamientos</v>
      </c>
    </row>
    <row r="494" spans="2:4" x14ac:dyDescent="0.25">
      <c r="B494" t="s">
        <v>381</v>
      </c>
      <c r="C494" t="s">
        <v>1154</v>
      </c>
      <c r="D494" t="str">
        <f t="shared" si="8"/>
        <v>Trabajos realizados por otras empresas</v>
      </c>
    </row>
    <row r="495" spans="2:4" x14ac:dyDescent="0.25">
      <c r="B495" t="s">
        <v>382</v>
      </c>
      <c r="C495" t="s">
        <v>1155</v>
      </c>
      <c r="D495" t="str">
        <f t="shared" si="8"/>
        <v>Devoluciones de compras y operaciones similares</v>
      </c>
    </row>
    <row r="496" spans="2:4" x14ac:dyDescent="0.25">
      <c r="B496" t="s">
        <v>383</v>
      </c>
      <c r="C496" t="s">
        <v>1156</v>
      </c>
      <c r="D496" t="str">
        <f t="shared" si="8"/>
        <v>Devoluciones de compras de mercaderías</v>
      </c>
    </row>
    <row r="497" spans="2:4" x14ac:dyDescent="0.25">
      <c r="B497" t="s">
        <v>384</v>
      </c>
      <c r="C497" t="s">
        <v>1157</v>
      </c>
      <c r="D497" t="str">
        <f t="shared" si="8"/>
        <v>Devoluciones de compras de materias primas</v>
      </c>
    </row>
    <row r="498" spans="2:4" x14ac:dyDescent="0.25">
      <c r="B498" t="s">
        <v>385</v>
      </c>
      <c r="C498" t="s">
        <v>1158</v>
      </c>
      <c r="D498" t="str">
        <f t="shared" si="8"/>
        <v>Devoluciones de compras de otros aprovisionamientos</v>
      </c>
    </row>
    <row r="499" spans="2:4" x14ac:dyDescent="0.25">
      <c r="B499" t="s">
        <v>386</v>
      </c>
      <c r="C499" t="s">
        <v>1159</v>
      </c>
      <c r="D499" t="str">
        <f t="shared" si="8"/>
        <v>“Rappels” por compras</v>
      </c>
    </row>
    <row r="500" spans="2:4" x14ac:dyDescent="0.25">
      <c r="B500" t="s">
        <v>387</v>
      </c>
      <c r="C500" t="s">
        <v>1160</v>
      </c>
      <c r="D500" t="str">
        <f t="shared" si="8"/>
        <v>“Rappels” por compras de mercaderías</v>
      </c>
    </row>
    <row r="501" spans="2:4" x14ac:dyDescent="0.25">
      <c r="B501" t="s">
        <v>388</v>
      </c>
      <c r="C501" t="s">
        <v>1161</v>
      </c>
      <c r="D501" t="str">
        <f t="shared" si="8"/>
        <v>“Rappels” por compras de materias primas</v>
      </c>
    </row>
    <row r="502" spans="2:4" x14ac:dyDescent="0.25">
      <c r="B502" t="s">
        <v>389</v>
      </c>
      <c r="C502" t="s">
        <v>1162</v>
      </c>
      <c r="D502" t="str">
        <f t="shared" si="8"/>
        <v>“Rappels” por compras de otros aprovisionamientos</v>
      </c>
    </row>
    <row r="503" spans="2:4" x14ac:dyDescent="0.25">
      <c r="B503" t="s">
        <v>390</v>
      </c>
      <c r="C503" t="s">
        <v>1163</v>
      </c>
      <c r="D503" t="str">
        <f t="shared" si="8"/>
        <v>VARIACIÓN DE EXISTENCIAS</v>
      </c>
    </row>
    <row r="504" spans="2:4" x14ac:dyDescent="0.25">
      <c r="B504" t="s">
        <v>391</v>
      </c>
      <c r="C504" t="s">
        <v>1164</v>
      </c>
      <c r="D504" t="str">
        <f t="shared" si="8"/>
        <v>Variación de existencias de mercaderías</v>
      </c>
    </row>
    <row r="505" spans="2:4" x14ac:dyDescent="0.25">
      <c r="B505" t="s">
        <v>392</v>
      </c>
      <c r="C505" t="s">
        <v>1165</v>
      </c>
      <c r="D505" t="str">
        <f t="shared" si="8"/>
        <v>Variación de existencias de materias primas</v>
      </c>
    </row>
    <row r="506" spans="2:4" x14ac:dyDescent="0.25">
      <c r="B506" t="s">
        <v>393</v>
      </c>
      <c r="C506" t="s">
        <v>1166</v>
      </c>
      <c r="D506" t="str">
        <f t="shared" si="8"/>
        <v>Variación de existencias de otros aprovisionamientos</v>
      </c>
    </row>
    <row r="507" spans="2:4" x14ac:dyDescent="0.25">
      <c r="B507" t="s">
        <v>394</v>
      </c>
      <c r="C507" t="s">
        <v>1167</v>
      </c>
      <c r="D507" t="str">
        <f t="shared" si="8"/>
        <v>SERVICIOS EXTERIORES</v>
      </c>
    </row>
    <row r="508" spans="2:4" x14ac:dyDescent="0.25">
      <c r="B508" t="s">
        <v>395</v>
      </c>
      <c r="C508" t="s">
        <v>1168</v>
      </c>
      <c r="D508" t="str">
        <f t="shared" si="8"/>
        <v>Gastos en investigación y desarrollo del ejercicio</v>
      </c>
    </row>
    <row r="509" spans="2:4" x14ac:dyDescent="0.25">
      <c r="B509" t="s">
        <v>396</v>
      </c>
      <c r="C509" t="s">
        <v>1169</v>
      </c>
      <c r="D509" t="str">
        <f t="shared" si="8"/>
        <v>Arrendamientos y cánones</v>
      </c>
    </row>
    <row r="510" spans="2:4" x14ac:dyDescent="0.25">
      <c r="B510" t="s">
        <v>397</v>
      </c>
      <c r="C510" t="s">
        <v>1170</v>
      </c>
      <c r="D510" t="str">
        <f t="shared" si="8"/>
        <v>Reparaciones y conservación</v>
      </c>
    </row>
    <row r="511" spans="2:4" x14ac:dyDescent="0.25">
      <c r="B511" t="s">
        <v>398</v>
      </c>
      <c r="C511" t="s">
        <v>1171</v>
      </c>
      <c r="D511" t="str">
        <f t="shared" si="8"/>
        <v>Servicios de profesionales independientes</v>
      </c>
    </row>
    <row r="512" spans="2:4" x14ac:dyDescent="0.25">
      <c r="B512" t="s">
        <v>399</v>
      </c>
      <c r="C512" t="s">
        <v>1172</v>
      </c>
      <c r="D512" t="str">
        <f t="shared" si="8"/>
        <v>Transportes</v>
      </c>
    </row>
    <row r="513" spans="2:4" x14ac:dyDescent="0.25">
      <c r="B513" t="s">
        <v>400</v>
      </c>
      <c r="C513" t="s">
        <v>1173</v>
      </c>
      <c r="D513" t="str">
        <f t="shared" si="8"/>
        <v>Primas de seguros</v>
      </c>
    </row>
    <row r="514" spans="2:4" x14ac:dyDescent="0.25">
      <c r="B514" t="s">
        <v>401</v>
      </c>
      <c r="C514" t="s">
        <v>1174</v>
      </c>
      <c r="D514" t="str">
        <f t="shared" si="8"/>
        <v>Servicios bancarios y similares</v>
      </c>
    </row>
    <row r="515" spans="2:4" x14ac:dyDescent="0.25">
      <c r="B515" t="s">
        <v>402</v>
      </c>
      <c r="C515" t="s">
        <v>1175</v>
      </c>
      <c r="D515" t="str">
        <f t="shared" si="8"/>
        <v>Publicidad, propaganda y relaciones públicas</v>
      </c>
    </row>
    <row r="516" spans="2:4" x14ac:dyDescent="0.25">
      <c r="B516" t="s">
        <v>403</v>
      </c>
      <c r="C516" t="s">
        <v>1176</v>
      </c>
      <c r="D516" t="str">
        <f t="shared" si="8"/>
        <v>Suministros</v>
      </c>
    </row>
    <row r="517" spans="2:4" x14ac:dyDescent="0.25">
      <c r="B517" t="s">
        <v>404</v>
      </c>
      <c r="C517" t="s">
        <v>1177</v>
      </c>
      <c r="D517" t="str">
        <f t="shared" si="8"/>
        <v>Otros servicios</v>
      </c>
    </row>
    <row r="518" spans="2:4" x14ac:dyDescent="0.25">
      <c r="B518" t="s">
        <v>405</v>
      </c>
      <c r="C518" t="s">
        <v>1178</v>
      </c>
      <c r="D518" t="str">
        <f t="shared" si="8"/>
        <v>TRIBUTOS</v>
      </c>
    </row>
    <row r="519" spans="2:4" x14ac:dyDescent="0.25">
      <c r="B519" t="s">
        <v>406</v>
      </c>
      <c r="C519" t="s">
        <v>1179</v>
      </c>
      <c r="D519" t="str">
        <f t="shared" si="8"/>
        <v>Impuesto sobre beneficios</v>
      </c>
    </row>
    <row r="520" spans="2:4" x14ac:dyDescent="0.25">
      <c r="B520" t="s">
        <v>407</v>
      </c>
      <c r="C520" t="s">
        <v>1180</v>
      </c>
      <c r="D520" t="str">
        <f t="shared" ref="D520:D583" si="9">MID(B520,FIND(".",B520)+2,LEN(B520))</f>
        <v>Impuesto corriente</v>
      </c>
    </row>
    <row r="521" spans="2:4" x14ac:dyDescent="0.25">
      <c r="B521" t="s">
        <v>408</v>
      </c>
      <c r="C521" t="s">
        <v>1181</v>
      </c>
      <c r="D521" t="str">
        <f t="shared" si="9"/>
        <v>Impuesto diferido</v>
      </c>
    </row>
    <row r="522" spans="2:4" x14ac:dyDescent="0.25">
      <c r="B522" t="s">
        <v>409</v>
      </c>
      <c r="C522" t="s">
        <v>1182</v>
      </c>
      <c r="D522" t="str">
        <f t="shared" si="9"/>
        <v>Otros tributos</v>
      </c>
    </row>
    <row r="523" spans="2:4" x14ac:dyDescent="0.25">
      <c r="B523" t="s">
        <v>410</v>
      </c>
      <c r="C523" t="s">
        <v>1183</v>
      </c>
      <c r="D523" t="str">
        <f t="shared" si="9"/>
        <v>Ajustes negativos en la imposición sobre beneficios</v>
      </c>
    </row>
    <row r="524" spans="2:4" x14ac:dyDescent="0.25">
      <c r="B524" t="s">
        <v>411</v>
      </c>
      <c r="C524" t="s">
        <v>1184</v>
      </c>
      <c r="D524" t="str">
        <f t="shared" si="9"/>
        <v>Ajustes negativos en la imposición indirecta</v>
      </c>
    </row>
    <row r="525" spans="2:4" x14ac:dyDescent="0.25">
      <c r="B525" t="s">
        <v>412</v>
      </c>
      <c r="C525" t="s">
        <v>1185</v>
      </c>
      <c r="D525" t="str">
        <f t="shared" si="9"/>
        <v>Ajustes negativos en IVA de activo corriente</v>
      </c>
    </row>
    <row r="526" spans="2:4" x14ac:dyDescent="0.25">
      <c r="B526" t="s">
        <v>413</v>
      </c>
      <c r="C526" t="s">
        <v>1186</v>
      </c>
      <c r="D526" t="str">
        <f t="shared" si="9"/>
        <v>Ajustes negativos en IVA de inversiones</v>
      </c>
    </row>
    <row r="527" spans="2:4" x14ac:dyDescent="0.25">
      <c r="B527" t="s">
        <v>414</v>
      </c>
      <c r="C527" t="s">
        <v>1187</v>
      </c>
      <c r="D527" t="str">
        <f t="shared" si="9"/>
        <v>Devolución de impuestos</v>
      </c>
    </row>
    <row r="528" spans="2:4" x14ac:dyDescent="0.25">
      <c r="B528" t="s">
        <v>415</v>
      </c>
      <c r="C528" t="s">
        <v>1188</v>
      </c>
      <c r="D528" t="str">
        <f t="shared" si="9"/>
        <v>Ajustes positivos en la imposición sobre beneficios</v>
      </c>
    </row>
    <row r="529" spans="2:4" x14ac:dyDescent="0.25">
      <c r="B529" t="s">
        <v>416</v>
      </c>
      <c r="C529" t="s">
        <v>1189</v>
      </c>
      <c r="D529" t="str">
        <f t="shared" si="9"/>
        <v>Ajustes positivos en la imposición indirecta</v>
      </c>
    </row>
    <row r="530" spans="2:4" x14ac:dyDescent="0.25">
      <c r="B530" t="s">
        <v>417</v>
      </c>
      <c r="C530" t="s">
        <v>1190</v>
      </c>
      <c r="D530" t="str">
        <f t="shared" si="9"/>
        <v>Ajustes positivos en IVA de activo corriente</v>
      </c>
    </row>
    <row r="531" spans="2:4" x14ac:dyDescent="0.25">
      <c r="B531" t="s">
        <v>418</v>
      </c>
      <c r="C531" t="s">
        <v>1191</v>
      </c>
      <c r="D531" t="str">
        <f t="shared" si="9"/>
        <v>Ajustes positivos en IVA de inversiones</v>
      </c>
    </row>
    <row r="532" spans="2:4" x14ac:dyDescent="0.25">
      <c r="B532" t="s">
        <v>419</v>
      </c>
      <c r="C532" t="s">
        <v>1192</v>
      </c>
      <c r="D532" t="str">
        <f t="shared" si="9"/>
        <v>GASTOS DE PERSONAL</v>
      </c>
    </row>
    <row r="533" spans="2:4" x14ac:dyDescent="0.25">
      <c r="B533" t="s">
        <v>420</v>
      </c>
      <c r="C533" t="s">
        <v>1193</v>
      </c>
      <c r="D533" t="str">
        <f t="shared" si="9"/>
        <v>Sueldos y salarios</v>
      </c>
    </row>
    <row r="534" spans="2:4" x14ac:dyDescent="0.25">
      <c r="B534" t="s">
        <v>421</v>
      </c>
      <c r="C534" t="s">
        <v>1194</v>
      </c>
      <c r="D534" t="str">
        <f t="shared" si="9"/>
        <v>Indemnizaciones</v>
      </c>
    </row>
    <row r="535" spans="2:4" x14ac:dyDescent="0.25">
      <c r="B535" t="s">
        <v>422</v>
      </c>
      <c r="C535" t="s">
        <v>1195</v>
      </c>
      <c r="D535" t="str">
        <f t="shared" si="9"/>
        <v>Seguridad Social a cargo de la empresa</v>
      </c>
    </row>
    <row r="536" spans="2:4" x14ac:dyDescent="0.25">
      <c r="B536" t="s">
        <v>423</v>
      </c>
      <c r="C536" t="s">
        <v>1196</v>
      </c>
      <c r="D536" t="str">
        <f t="shared" si="9"/>
        <v>Otros gastos sociales</v>
      </c>
    </row>
    <row r="537" spans="2:4" x14ac:dyDescent="0.25">
      <c r="B537" t="s">
        <v>424</v>
      </c>
      <c r="C537" t="s">
        <v>1197</v>
      </c>
      <c r="D537" t="str">
        <f t="shared" si="9"/>
        <v>OTROS GASTOS DE GESTIÓN</v>
      </c>
    </row>
    <row r="538" spans="2:4" x14ac:dyDescent="0.25">
      <c r="B538" t="s">
        <v>425</v>
      </c>
      <c r="C538" t="s">
        <v>1198</v>
      </c>
      <c r="D538" t="str">
        <f t="shared" si="9"/>
        <v>Pérdidas de créditos comerciales incobrables</v>
      </c>
    </row>
    <row r="539" spans="2:4" x14ac:dyDescent="0.25">
      <c r="B539" t="s">
        <v>426</v>
      </c>
      <c r="C539" t="s">
        <v>1199</v>
      </c>
      <c r="D539" t="str">
        <f t="shared" si="9"/>
        <v>Resultados de operaciones en común</v>
      </c>
    </row>
    <row r="540" spans="2:4" x14ac:dyDescent="0.25">
      <c r="B540" t="s">
        <v>427</v>
      </c>
      <c r="C540" t="s">
        <v>1200</v>
      </c>
      <c r="D540" t="str">
        <f t="shared" si="9"/>
        <v>Beneficio transferido (gestor)</v>
      </c>
    </row>
    <row r="541" spans="2:4" x14ac:dyDescent="0.25">
      <c r="B541" t="s">
        <v>428</v>
      </c>
      <c r="C541" t="s">
        <v>1201</v>
      </c>
      <c r="D541" t="str">
        <f t="shared" si="9"/>
        <v>Pérdida soportada (partícipe o asociado no gestor)</v>
      </c>
    </row>
    <row r="542" spans="2:4" x14ac:dyDescent="0.25">
      <c r="B542" t="s">
        <v>429</v>
      </c>
      <c r="C542" t="s">
        <v>1202</v>
      </c>
      <c r="D542" t="str">
        <f t="shared" si="9"/>
        <v>Otras pérdidas en gestión corriente</v>
      </c>
    </row>
    <row r="543" spans="2:4" x14ac:dyDescent="0.25">
      <c r="B543" t="s">
        <v>430</v>
      </c>
      <c r="C543" t="s">
        <v>1203</v>
      </c>
      <c r="D543" t="str">
        <f t="shared" si="9"/>
        <v>GASTOS FINANCIEROS</v>
      </c>
    </row>
    <row r="544" spans="2:4" x14ac:dyDescent="0.25">
      <c r="B544" t="s">
        <v>431</v>
      </c>
      <c r="C544" t="s">
        <v>1204</v>
      </c>
      <c r="D544" t="str">
        <f t="shared" si="9"/>
        <v>Gastos financieros por actualización de provisiones</v>
      </c>
    </row>
    <row r="545" spans="2:4" x14ac:dyDescent="0.25">
      <c r="B545" t="s">
        <v>432</v>
      </c>
      <c r="C545" t="s">
        <v>1205</v>
      </c>
      <c r="D545" t="str">
        <f t="shared" si="9"/>
        <v>Intereses de obligaciones y bonos</v>
      </c>
    </row>
    <row r="546" spans="2:4" x14ac:dyDescent="0.25">
      <c r="B546" t="s">
        <v>433</v>
      </c>
      <c r="C546" t="s">
        <v>1206</v>
      </c>
      <c r="D546" t="str">
        <f t="shared" si="9"/>
        <v>Intereses de obligaciones y bonos a largo plazo, empresas del grupo</v>
      </c>
    </row>
    <row r="547" spans="2:4" x14ac:dyDescent="0.25">
      <c r="B547" t="s">
        <v>434</v>
      </c>
      <c r="C547" t="s">
        <v>1207</v>
      </c>
      <c r="D547" t="str">
        <f t="shared" si="9"/>
        <v>Intereses de obligaciones y bonos a largo plazo, empresas asociadas</v>
      </c>
    </row>
    <row r="548" spans="2:4" x14ac:dyDescent="0.25">
      <c r="B548" t="s">
        <v>1208</v>
      </c>
      <c r="C548" t="s">
        <v>1209</v>
      </c>
      <c r="D548" t="str">
        <f t="shared" si="9"/>
        <v>Intereses de obligaciones y bonos a largo plazo, otras partes vinculadas</v>
      </c>
    </row>
    <row r="549" spans="2:4" x14ac:dyDescent="0.25">
      <c r="B549" t="s">
        <v>435</v>
      </c>
      <c r="C549" t="s">
        <v>1210</v>
      </c>
      <c r="D549" t="str">
        <f t="shared" si="9"/>
        <v>Intereses de obligaciones y bonos a largo plazo, otras empresas</v>
      </c>
    </row>
    <row r="550" spans="2:4" x14ac:dyDescent="0.25">
      <c r="B550" t="s">
        <v>1211</v>
      </c>
      <c r="C550" t="s">
        <v>1212</v>
      </c>
      <c r="D550" t="str">
        <f t="shared" si="9"/>
        <v>Intereses de obligaciones y bonos a corto plazo, empresas del grupo</v>
      </c>
    </row>
    <row r="551" spans="2:4" x14ac:dyDescent="0.25">
      <c r="B551" t="s">
        <v>1213</v>
      </c>
      <c r="C551" t="s">
        <v>1214</v>
      </c>
      <c r="D551" t="str">
        <f t="shared" si="9"/>
        <v>Intereses de obligaciones y bonos a corto plazo, empresas asociadas</v>
      </c>
    </row>
    <row r="552" spans="2:4" x14ac:dyDescent="0.25">
      <c r="B552" t="s">
        <v>1215</v>
      </c>
      <c r="C552" t="s">
        <v>1216</v>
      </c>
      <c r="D552" t="str">
        <f t="shared" si="9"/>
        <v>Intereses de obligaciones y bonos a corto plazo, otras partes vinculadas</v>
      </c>
    </row>
    <row r="553" spans="2:4" x14ac:dyDescent="0.25">
      <c r="B553" t="s">
        <v>436</v>
      </c>
      <c r="C553" t="s">
        <v>1217</v>
      </c>
      <c r="D553" t="str">
        <f t="shared" si="9"/>
        <v>Intereses de obligaciones y bonos a corto plazo, otras empresas</v>
      </c>
    </row>
    <row r="554" spans="2:4" x14ac:dyDescent="0.25">
      <c r="B554" t="s">
        <v>437</v>
      </c>
      <c r="C554" t="s">
        <v>1218</v>
      </c>
      <c r="D554" t="str">
        <f t="shared" si="9"/>
        <v>Intereses de deudas</v>
      </c>
    </row>
    <row r="555" spans="2:4" x14ac:dyDescent="0.25">
      <c r="B555" t="s">
        <v>438</v>
      </c>
      <c r="C555" t="s">
        <v>1219</v>
      </c>
      <c r="D555" t="str">
        <f t="shared" si="9"/>
        <v>Intereses de deudas, empresas del grupo</v>
      </c>
    </row>
    <row r="556" spans="2:4" x14ac:dyDescent="0.25">
      <c r="B556" t="s">
        <v>439</v>
      </c>
      <c r="C556" t="s">
        <v>1220</v>
      </c>
      <c r="D556" t="str">
        <f t="shared" si="9"/>
        <v>Intereses de deudas, empresas asociadas</v>
      </c>
    </row>
    <row r="557" spans="2:4" x14ac:dyDescent="0.25">
      <c r="B557" t="s">
        <v>440</v>
      </c>
      <c r="C557" t="s">
        <v>1221</v>
      </c>
      <c r="D557" t="str">
        <f t="shared" si="9"/>
        <v>Intereses de deudas, otras partes vinculadas</v>
      </c>
    </row>
    <row r="558" spans="2:4" x14ac:dyDescent="0.25">
      <c r="B558" t="s">
        <v>441</v>
      </c>
      <c r="C558" t="s">
        <v>1222</v>
      </c>
      <c r="D558" t="str">
        <f t="shared" si="9"/>
        <v>Intereses de deudas con entidades de crédito</v>
      </c>
    </row>
    <row r="559" spans="2:4" x14ac:dyDescent="0.25">
      <c r="B559" t="s">
        <v>442</v>
      </c>
      <c r="C559" t="s">
        <v>1223</v>
      </c>
      <c r="D559" t="str">
        <f t="shared" si="9"/>
        <v>Intereses de deudas, otras empresas</v>
      </c>
    </row>
    <row r="560" spans="2:4" x14ac:dyDescent="0.25">
      <c r="B560" t="s">
        <v>1224</v>
      </c>
      <c r="C560" t="s">
        <v>1225</v>
      </c>
      <c r="D560" t="str">
        <f t="shared" si="9"/>
        <v>Pérdidas por valoración de activos y pasivos financieros por su valor razonable</v>
      </c>
    </row>
    <row r="561" spans="2:4" x14ac:dyDescent="0.25">
      <c r="B561" t="s">
        <v>1226</v>
      </c>
      <c r="C561" t="s">
        <v>1227</v>
      </c>
      <c r="D561" t="str">
        <f t="shared" si="9"/>
        <v>Gastos por dividendos de acciones o participaciones consideradas como pasivos financieros</v>
      </c>
    </row>
    <row r="562" spans="2:4" x14ac:dyDescent="0.25">
      <c r="B562" t="s">
        <v>443</v>
      </c>
      <c r="C562" t="s">
        <v>1228</v>
      </c>
      <c r="D562" t="str">
        <f t="shared" si="9"/>
        <v>Dividendos de pasivos, empresas del grupo</v>
      </c>
    </row>
    <row r="563" spans="2:4" x14ac:dyDescent="0.25">
      <c r="B563" t="s">
        <v>444</v>
      </c>
      <c r="C563" t="s">
        <v>1229</v>
      </c>
      <c r="D563" t="str">
        <f t="shared" si="9"/>
        <v>Dividendos de pasivos, empresas asociadas</v>
      </c>
    </row>
    <row r="564" spans="2:4" x14ac:dyDescent="0.25">
      <c r="B564" t="s">
        <v>445</v>
      </c>
      <c r="C564" t="s">
        <v>1230</v>
      </c>
      <c r="D564" t="str">
        <f t="shared" si="9"/>
        <v>Dividendos de pasivos, otras partes vinculadas</v>
      </c>
    </row>
    <row r="565" spans="2:4" x14ac:dyDescent="0.25">
      <c r="B565" t="s">
        <v>446</v>
      </c>
      <c r="C565" t="s">
        <v>1231</v>
      </c>
      <c r="D565" t="str">
        <f t="shared" si="9"/>
        <v>Dividendos de pasivos, otras empresas</v>
      </c>
    </row>
    <row r="566" spans="2:4" x14ac:dyDescent="0.25">
      <c r="B566" t="s">
        <v>447</v>
      </c>
      <c r="C566" t="s">
        <v>1232</v>
      </c>
      <c r="D566" t="str">
        <f t="shared" si="9"/>
        <v>Intereses por descuento de efectos y operaciones de “factoring”</v>
      </c>
    </row>
    <row r="567" spans="2:4" x14ac:dyDescent="0.25">
      <c r="B567" t="s">
        <v>1233</v>
      </c>
      <c r="C567" t="s">
        <v>1234</v>
      </c>
      <c r="D567" t="str">
        <f t="shared" si="9"/>
        <v>Intereses por descuento de efectos en entidades de crédito del grupo</v>
      </c>
    </row>
    <row r="568" spans="2:4" x14ac:dyDescent="0.25">
      <c r="B568" t="s">
        <v>1235</v>
      </c>
      <c r="C568" t="s">
        <v>1236</v>
      </c>
      <c r="D568" t="str">
        <f t="shared" si="9"/>
        <v>Intereses por descuento de efectos en entidades de crédito asociadas</v>
      </c>
    </row>
    <row r="569" spans="2:4" x14ac:dyDescent="0.25">
      <c r="B569" t="s">
        <v>1237</v>
      </c>
      <c r="C569" t="s">
        <v>1238</v>
      </c>
      <c r="D569" t="str">
        <f t="shared" si="9"/>
        <v>Intereses por descuento de efectos en otras entidades de crédito vinculadas</v>
      </c>
    </row>
    <row r="570" spans="2:4" x14ac:dyDescent="0.25">
      <c r="B570" t="s">
        <v>1239</v>
      </c>
      <c r="C570" t="s">
        <v>1240</v>
      </c>
      <c r="D570" t="str">
        <f t="shared" si="9"/>
        <v>Intereses por descuento de efectos en otras entidades de crédito</v>
      </c>
    </row>
    <row r="571" spans="2:4" x14ac:dyDescent="0.25">
      <c r="B571" t="s">
        <v>1241</v>
      </c>
      <c r="C571" t="s">
        <v>1242</v>
      </c>
      <c r="D571" t="str">
        <f t="shared" si="9"/>
        <v>Intereses por operaciones de “factoring” con entidades de crédito del grupo</v>
      </c>
    </row>
    <row r="572" spans="2:4" x14ac:dyDescent="0.25">
      <c r="B572" t="s">
        <v>1243</v>
      </c>
      <c r="C572" t="s">
        <v>1244</v>
      </c>
      <c r="D572" t="str">
        <f t="shared" si="9"/>
        <v>Intereses por operaciones de “factoring” con entidades de crédito asociadas</v>
      </c>
    </row>
    <row r="573" spans="2:4" x14ac:dyDescent="0.25">
      <c r="B573" t="s">
        <v>1245</v>
      </c>
      <c r="C573" t="s">
        <v>1246</v>
      </c>
      <c r="D573" t="str">
        <f t="shared" si="9"/>
        <v>Intereses por operaciones de “factoring” con otras entidades de crédito vinculadas</v>
      </c>
    </row>
    <row r="574" spans="2:4" x14ac:dyDescent="0.25">
      <c r="B574" t="s">
        <v>1247</v>
      </c>
      <c r="C574" t="s">
        <v>1248</v>
      </c>
      <c r="D574" t="str">
        <f t="shared" si="9"/>
        <v>Intereses por operaciones de “factoring” con otras entidades de crédito</v>
      </c>
    </row>
    <row r="575" spans="2:4" x14ac:dyDescent="0.25">
      <c r="B575" t="s">
        <v>1249</v>
      </c>
      <c r="C575" t="s">
        <v>1250</v>
      </c>
      <c r="D575" t="str">
        <f t="shared" si="9"/>
        <v>Pérdidas en participaciones y valores representativos de deuda</v>
      </c>
    </row>
    <row r="576" spans="2:4" x14ac:dyDescent="0.25">
      <c r="B576" t="s">
        <v>1251</v>
      </c>
      <c r="C576" t="s">
        <v>1252</v>
      </c>
      <c r="D576" t="str">
        <f t="shared" si="9"/>
        <v>Pérdidas en valores representativos de deuda a largo plazo, empresas del grupo</v>
      </c>
    </row>
    <row r="577" spans="2:4" x14ac:dyDescent="0.25">
      <c r="B577" t="s">
        <v>1253</v>
      </c>
      <c r="C577" t="s">
        <v>1254</v>
      </c>
      <c r="D577" t="str">
        <f t="shared" si="9"/>
        <v>Pérdidas en valores representativos de deuda a largo plazo, empresas asociadas</v>
      </c>
    </row>
    <row r="578" spans="2:4" x14ac:dyDescent="0.25">
      <c r="B578" t="s">
        <v>1255</v>
      </c>
      <c r="C578" t="s">
        <v>1256</v>
      </c>
      <c r="D578" t="str">
        <f t="shared" si="9"/>
        <v>Pérdidas en valores representativos de deuda a largo plazo, otras partes vinculadas</v>
      </c>
    </row>
    <row r="579" spans="2:4" x14ac:dyDescent="0.25">
      <c r="B579" t="s">
        <v>1257</v>
      </c>
      <c r="C579" t="s">
        <v>1258</v>
      </c>
      <c r="D579" t="str">
        <f t="shared" si="9"/>
        <v>Pérdidas en participaciones y valores representativos de deuda a largo plazo, otras empresas</v>
      </c>
    </row>
    <row r="580" spans="2:4" x14ac:dyDescent="0.25">
      <c r="B580" t="s">
        <v>1259</v>
      </c>
      <c r="C580" t="s">
        <v>1260</v>
      </c>
      <c r="D580" t="str">
        <f t="shared" si="9"/>
        <v>Pérdidas en participaciones y valores representativos de deuda a corto plazo, empresas del grupo</v>
      </c>
    </row>
    <row r="581" spans="2:4" x14ac:dyDescent="0.25">
      <c r="B581" t="s">
        <v>1261</v>
      </c>
      <c r="C581" t="s">
        <v>1262</v>
      </c>
      <c r="D581" t="str">
        <f t="shared" si="9"/>
        <v>Pérdidas en participaciones y valores representativos de deuda a corto plazo, empresas asociadas</v>
      </c>
    </row>
    <row r="582" spans="2:4" x14ac:dyDescent="0.25">
      <c r="B582" t="s">
        <v>1263</v>
      </c>
      <c r="C582" t="s">
        <v>1264</v>
      </c>
      <c r="D582" t="str">
        <f t="shared" si="9"/>
        <v>Pérdidas en valores representativos de deuda a corto plazo, otras partes vinculadas</v>
      </c>
    </row>
    <row r="583" spans="2:4" x14ac:dyDescent="0.25">
      <c r="B583" t="s">
        <v>1265</v>
      </c>
      <c r="C583" t="s">
        <v>1266</v>
      </c>
      <c r="D583" t="str">
        <f t="shared" si="9"/>
        <v>Pérdidas en valores representativos de deuda a corto plazo, otras empresas</v>
      </c>
    </row>
    <row r="584" spans="2:4" x14ac:dyDescent="0.25">
      <c r="B584" t="s">
        <v>448</v>
      </c>
      <c r="C584" t="s">
        <v>1267</v>
      </c>
      <c r="D584" t="str">
        <f t="shared" ref="D584:D647" si="10">MID(B584,FIND(".",B584)+2,LEN(B584))</f>
        <v>Pérdidas de créditos no comerciales</v>
      </c>
    </row>
    <row r="585" spans="2:4" x14ac:dyDescent="0.25">
      <c r="B585" t="s">
        <v>449</v>
      </c>
      <c r="C585" t="s">
        <v>1268</v>
      </c>
      <c r="D585" t="str">
        <f t="shared" si="10"/>
        <v>Pérdidas de créditos a largo plazo, empresas del grupo</v>
      </c>
    </row>
    <row r="586" spans="2:4" x14ac:dyDescent="0.25">
      <c r="B586" t="s">
        <v>450</v>
      </c>
      <c r="C586" t="s">
        <v>1269</v>
      </c>
      <c r="D586" t="str">
        <f t="shared" si="10"/>
        <v>Pérdidas de créditos a largo plazo, empresas asociadas</v>
      </c>
    </row>
    <row r="587" spans="2:4" x14ac:dyDescent="0.25">
      <c r="B587" t="s">
        <v>451</v>
      </c>
      <c r="C587" t="s">
        <v>1270</v>
      </c>
      <c r="D587" t="str">
        <f t="shared" si="10"/>
        <v>Pérdidas de créditos a largo plazo, otras partes vinculadas</v>
      </c>
    </row>
    <row r="588" spans="2:4" x14ac:dyDescent="0.25">
      <c r="B588" t="s">
        <v>452</v>
      </c>
      <c r="C588" t="s">
        <v>1271</v>
      </c>
      <c r="D588" t="str">
        <f t="shared" si="10"/>
        <v>Pérdidas de créditos a largo plazo, otras empresas</v>
      </c>
    </row>
    <row r="589" spans="2:4" x14ac:dyDescent="0.25">
      <c r="B589" t="s">
        <v>453</v>
      </c>
      <c r="C589" t="s">
        <v>1272</v>
      </c>
      <c r="D589" t="str">
        <f t="shared" si="10"/>
        <v>Pérdidas de créditos a corto plazo, empresas del grupo</v>
      </c>
    </row>
    <row r="590" spans="2:4" x14ac:dyDescent="0.25">
      <c r="B590" t="s">
        <v>454</v>
      </c>
      <c r="C590" t="s">
        <v>1273</v>
      </c>
      <c r="D590" t="str">
        <f t="shared" si="10"/>
        <v>Pérdidas de créditos a corto plazo, empresas asociadas</v>
      </c>
    </row>
    <row r="591" spans="2:4" x14ac:dyDescent="0.25">
      <c r="B591" t="s">
        <v>455</v>
      </c>
      <c r="C591" t="s">
        <v>1274</v>
      </c>
      <c r="D591" t="str">
        <f t="shared" si="10"/>
        <v>Pérdidas de créditos a corto plazo, otras partes vinculadas</v>
      </c>
    </row>
    <row r="592" spans="2:4" x14ac:dyDescent="0.25">
      <c r="B592" t="s">
        <v>456</v>
      </c>
      <c r="C592" t="s">
        <v>1275</v>
      </c>
      <c r="D592" t="str">
        <f t="shared" si="10"/>
        <v>Pérdidas de créditos a corto plazo, otras empresas</v>
      </c>
    </row>
    <row r="593" spans="2:4" x14ac:dyDescent="0.25">
      <c r="B593" t="s">
        <v>457</v>
      </c>
      <c r="C593" t="s">
        <v>1276</v>
      </c>
      <c r="D593" t="str">
        <f t="shared" si="10"/>
        <v>Diferencias negativas de cambio</v>
      </c>
    </row>
    <row r="594" spans="2:4" x14ac:dyDescent="0.25">
      <c r="B594" t="s">
        <v>458</v>
      </c>
      <c r="C594" t="s">
        <v>1277</v>
      </c>
      <c r="D594" t="str">
        <f t="shared" si="10"/>
        <v>Otros gastos financieros</v>
      </c>
    </row>
    <row r="595" spans="2:4" x14ac:dyDescent="0.25">
      <c r="B595" t="s">
        <v>1278</v>
      </c>
      <c r="C595" t="s">
        <v>1279</v>
      </c>
      <c r="D595" t="str">
        <f t="shared" si="10"/>
        <v>PÉRDIDAS PROCEDENTES DE ACTIVOS NO CORRIENTES Y GASTOS EXCEPCIONALES</v>
      </c>
    </row>
    <row r="596" spans="2:4" x14ac:dyDescent="0.25">
      <c r="B596" t="s">
        <v>459</v>
      </c>
      <c r="C596" t="s">
        <v>1280</v>
      </c>
      <c r="D596" t="str">
        <f t="shared" si="10"/>
        <v>Pérdidas procedentes del inmovilizado intangible</v>
      </c>
    </row>
    <row r="597" spans="2:4" x14ac:dyDescent="0.25">
      <c r="B597" t="s">
        <v>460</v>
      </c>
      <c r="C597" t="s">
        <v>1281</v>
      </c>
      <c r="D597" t="str">
        <f t="shared" si="10"/>
        <v>Pérdidas procedentes del inmovilizado material</v>
      </c>
    </row>
    <row r="598" spans="2:4" x14ac:dyDescent="0.25">
      <c r="B598" t="s">
        <v>461</v>
      </c>
      <c r="C598" t="s">
        <v>1282</v>
      </c>
      <c r="D598" t="str">
        <f t="shared" si="10"/>
        <v>Pérdidas procedentes de las inversiones inmobiliarias</v>
      </c>
    </row>
    <row r="599" spans="2:4" x14ac:dyDescent="0.25">
      <c r="B599" t="s">
        <v>1283</v>
      </c>
      <c r="C599" t="s">
        <v>1284</v>
      </c>
      <c r="D599" t="str">
        <f t="shared" si="10"/>
        <v>Pérdidas procedentes de participaciones a largo plazo en partes vinculadas</v>
      </c>
    </row>
    <row r="600" spans="2:4" x14ac:dyDescent="0.25">
      <c r="B600" t="s">
        <v>1285</v>
      </c>
      <c r="C600" t="s">
        <v>1286</v>
      </c>
      <c r="D600" t="str">
        <f t="shared" si="10"/>
        <v>Pérdidas procedentes de participaciones a largo plazo, empresas del grupo</v>
      </c>
    </row>
    <row r="601" spans="2:4" x14ac:dyDescent="0.25">
      <c r="B601" t="s">
        <v>1287</v>
      </c>
      <c r="C601" t="s">
        <v>1288</v>
      </c>
      <c r="D601" t="str">
        <f t="shared" si="10"/>
        <v>Pérdidas procedentes de participaciones a largo plazo, empresas asociadas</v>
      </c>
    </row>
    <row r="602" spans="2:4" x14ac:dyDescent="0.25">
      <c r="B602" t="s">
        <v>1289</v>
      </c>
      <c r="C602" t="s">
        <v>1290</v>
      </c>
      <c r="D602" t="str">
        <f t="shared" si="10"/>
        <v>Pérdidas procedentes de participaciones a largo plazo, otras partes vinculadas</v>
      </c>
    </row>
    <row r="603" spans="2:4" x14ac:dyDescent="0.25">
      <c r="B603" t="s">
        <v>1291</v>
      </c>
      <c r="C603" t="s">
        <v>1292</v>
      </c>
      <c r="D603" t="str">
        <f t="shared" si="10"/>
        <v>Pérdidas por operaciones con obligaciones propias</v>
      </c>
    </row>
    <row r="604" spans="2:4" x14ac:dyDescent="0.25">
      <c r="B604" t="s">
        <v>462</v>
      </c>
      <c r="C604" t="s">
        <v>1293</v>
      </c>
      <c r="D604" t="str">
        <f t="shared" si="10"/>
        <v>Gastos excepcionales</v>
      </c>
    </row>
    <row r="605" spans="2:4" x14ac:dyDescent="0.25">
      <c r="B605" t="s">
        <v>463</v>
      </c>
      <c r="C605" t="s">
        <v>1294</v>
      </c>
      <c r="D605" t="str">
        <f t="shared" si="10"/>
        <v>DOTACIONES PARA AMORTIZACIONES</v>
      </c>
    </row>
    <row r="606" spans="2:4" x14ac:dyDescent="0.25">
      <c r="B606" t="s">
        <v>464</v>
      </c>
      <c r="C606" t="s">
        <v>1295</v>
      </c>
      <c r="D606" t="str">
        <f t="shared" si="10"/>
        <v>Amortización del inmovilizado intangible</v>
      </c>
    </row>
    <row r="607" spans="2:4" x14ac:dyDescent="0.25">
      <c r="B607" t="s">
        <v>465</v>
      </c>
      <c r="C607" t="s">
        <v>1296</v>
      </c>
      <c r="D607" t="str">
        <f t="shared" si="10"/>
        <v>Amortización del inmovilizado material</v>
      </c>
    </row>
    <row r="608" spans="2:4" x14ac:dyDescent="0.25">
      <c r="B608" t="s">
        <v>466</v>
      </c>
      <c r="C608" t="s">
        <v>1297</v>
      </c>
      <c r="D608" t="str">
        <f t="shared" si="10"/>
        <v>Amortización de las inversiones inmobiliarias</v>
      </c>
    </row>
    <row r="609" spans="2:4" x14ac:dyDescent="0.25">
      <c r="B609" t="s">
        <v>467</v>
      </c>
      <c r="C609" t="s">
        <v>1298</v>
      </c>
      <c r="D609" t="str">
        <f t="shared" si="10"/>
        <v>PÉRDIDAS POR DETERIORO Y OTRAS DOTACIONES</v>
      </c>
    </row>
    <row r="610" spans="2:4" x14ac:dyDescent="0.25">
      <c r="B610" t="s">
        <v>468</v>
      </c>
      <c r="C610" t="s">
        <v>1299</v>
      </c>
      <c r="D610" t="str">
        <f t="shared" si="10"/>
        <v>Pérdidas por deterioro del inmovilizado intangible</v>
      </c>
    </row>
    <row r="611" spans="2:4" x14ac:dyDescent="0.25">
      <c r="B611" t="s">
        <v>469</v>
      </c>
      <c r="C611" t="s">
        <v>1300</v>
      </c>
      <c r="D611" t="str">
        <f t="shared" si="10"/>
        <v>Pérdidas por deterioro del inmovilizado material</v>
      </c>
    </row>
    <row r="612" spans="2:4" x14ac:dyDescent="0.25">
      <c r="B612" t="s">
        <v>470</v>
      </c>
      <c r="C612" t="s">
        <v>1301</v>
      </c>
      <c r="D612" t="str">
        <f t="shared" si="10"/>
        <v>Pérdidas por deterioro de las inversiones inmobiliarias</v>
      </c>
    </row>
    <row r="613" spans="2:4" x14ac:dyDescent="0.25">
      <c r="B613" t="s">
        <v>471</v>
      </c>
      <c r="C613" t="s">
        <v>1302</v>
      </c>
      <c r="D613" t="str">
        <f t="shared" si="10"/>
        <v>Pérdidas por deterioro de existencias</v>
      </c>
    </row>
    <row r="614" spans="2:4" x14ac:dyDescent="0.25">
      <c r="B614" t="s">
        <v>1303</v>
      </c>
      <c r="C614" t="s">
        <v>1304</v>
      </c>
      <c r="D614" t="str">
        <f t="shared" si="10"/>
        <v>Pérdidas por deterioro de productos terminados y en curso de fabricación</v>
      </c>
    </row>
    <row r="615" spans="2:4" x14ac:dyDescent="0.25">
      <c r="B615" t="s">
        <v>472</v>
      </c>
      <c r="C615" t="s">
        <v>1305</v>
      </c>
      <c r="D615" t="str">
        <f t="shared" si="10"/>
        <v>Pérdidas por deterioro de mercaderías</v>
      </c>
    </row>
    <row r="616" spans="2:4" x14ac:dyDescent="0.25">
      <c r="B616" t="s">
        <v>473</v>
      </c>
      <c r="C616" t="s">
        <v>1306</v>
      </c>
      <c r="D616" t="str">
        <f t="shared" si="10"/>
        <v>Pérdidas por deterioro de materias primas</v>
      </c>
    </row>
    <row r="617" spans="2:4" x14ac:dyDescent="0.25">
      <c r="B617" t="s">
        <v>474</v>
      </c>
      <c r="C617" t="s">
        <v>1307</v>
      </c>
      <c r="D617" t="str">
        <f t="shared" si="10"/>
        <v>Pérdidas por deterioro de otros aprovisionamientos</v>
      </c>
    </row>
    <row r="618" spans="2:4" x14ac:dyDescent="0.25">
      <c r="B618" t="s">
        <v>475</v>
      </c>
      <c r="C618" t="s">
        <v>1308</v>
      </c>
      <c r="D618" t="str">
        <f t="shared" si="10"/>
        <v>Pérdidas por deterioro de créditos por operaciones comerciales</v>
      </c>
    </row>
    <row r="619" spans="2:4" x14ac:dyDescent="0.25">
      <c r="B619" t="s">
        <v>476</v>
      </c>
      <c r="C619" t="s">
        <v>1309</v>
      </c>
      <c r="D619" t="str">
        <f t="shared" si="10"/>
        <v>Dotación a la provisión por operaciones comerciales</v>
      </c>
    </row>
    <row r="620" spans="2:4" x14ac:dyDescent="0.25">
      <c r="B620" t="s">
        <v>477</v>
      </c>
      <c r="C620" t="s">
        <v>1310</v>
      </c>
      <c r="D620" t="str">
        <f t="shared" si="10"/>
        <v>Dotación a la provisión por contratos onerosos</v>
      </c>
    </row>
    <row r="621" spans="2:4" x14ac:dyDescent="0.25">
      <c r="B621" t="s">
        <v>478</v>
      </c>
      <c r="C621" t="s">
        <v>1311</v>
      </c>
      <c r="D621" t="str">
        <f t="shared" si="10"/>
        <v>Dotación a la provisión para otras operaciones comerciales</v>
      </c>
    </row>
    <row r="622" spans="2:4" x14ac:dyDescent="0.25">
      <c r="B622" t="s">
        <v>1312</v>
      </c>
      <c r="C622" t="s">
        <v>1313</v>
      </c>
      <c r="D622" t="str">
        <f t="shared" si="10"/>
        <v>Pérdidas por deterioro de participaciones y valores representativos de deuda a largo plazo</v>
      </c>
    </row>
    <row r="623" spans="2:4" x14ac:dyDescent="0.25">
      <c r="B623" t="s">
        <v>1314</v>
      </c>
      <c r="C623" t="s">
        <v>1315</v>
      </c>
      <c r="D623" t="str">
        <f t="shared" si="10"/>
        <v>Pérdidas por deterioro de participaciones en instrumentos de patrimonio neto a largo plazo, empresas del grupo</v>
      </c>
    </row>
    <row r="624" spans="2:4" x14ac:dyDescent="0.25">
      <c r="B624" t="s">
        <v>1316</v>
      </c>
      <c r="C624" t="s">
        <v>1317</v>
      </c>
      <c r="D624" t="str">
        <f t="shared" si="10"/>
        <v>Pérdidas por deterioro de participaciones en instrumentos de patrimonio neto a largo plazo, empresas asociadas</v>
      </c>
    </row>
    <row r="625" spans="2:4" x14ac:dyDescent="0.25">
      <c r="B625" t="s">
        <v>1318</v>
      </c>
      <c r="C625" t="s">
        <v>1319</v>
      </c>
      <c r="D625" t="str">
        <f t="shared" si="10"/>
        <v>Pérdidas por deterioro de participaciones en instrumentos de patrimonio neto a largo plazo, otras partes vinculadas</v>
      </c>
    </row>
    <row r="626" spans="2:4" x14ac:dyDescent="0.25">
      <c r="B626" t="s">
        <v>1320</v>
      </c>
      <c r="C626" t="s">
        <v>1321</v>
      </c>
      <c r="D626" t="str">
        <f t="shared" si="10"/>
        <v>Pérdidas por deterioro de participaciones en instrumentos de patrimonio neto a largo plazo, otras empresas</v>
      </c>
    </row>
    <row r="627" spans="2:4" x14ac:dyDescent="0.25">
      <c r="B627" t="s">
        <v>1322</v>
      </c>
      <c r="C627" t="s">
        <v>1323</v>
      </c>
      <c r="D627" t="str">
        <f t="shared" si="10"/>
        <v>Pérdidas por deterioro en valores representativos de deuda a largo plazo, empresas del grupo</v>
      </c>
    </row>
    <row r="628" spans="2:4" x14ac:dyDescent="0.25">
      <c r="B628" t="s">
        <v>1324</v>
      </c>
      <c r="C628" t="s">
        <v>1325</v>
      </c>
      <c r="D628" t="str">
        <f t="shared" si="10"/>
        <v>Pérdidas por deterioro en valores representativos de deuda a largo plazo, empresas asociadas</v>
      </c>
    </row>
    <row r="629" spans="2:4" x14ac:dyDescent="0.25">
      <c r="B629" t="s">
        <v>1326</v>
      </c>
      <c r="C629" t="s">
        <v>1327</v>
      </c>
      <c r="D629" t="str">
        <f t="shared" si="10"/>
        <v>Pérdidas por deterioro en valores representativos de deuda a largo plazo, otras partes vinculadas</v>
      </c>
    </row>
    <row r="630" spans="2:4" x14ac:dyDescent="0.25">
      <c r="B630" t="s">
        <v>1328</v>
      </c>
      <c r="C630" t="s">
        <v>1329</v>
      </c>
      <c r="D630" t="str">
        <f t="shared" si="10"/>
        <v>Pérdidas por deterioro en valores representativos de deuda a largo plazo, de otras empresas</v>
      </c>
    </row>
    <row r="631" spans="2:4" x14ac:dyDescent="0.25">
      <c r="B631" t="s">
        <v>479</v>
      </c>
      <c r="C631" t="s">
        <v>1330</v>
      </c>
      <c r="D631" t="str">
        <f t="shared" si="10"/>
        <v>Pérdidas por deterioro de créditos a largo plazo</v>
      </c>
    </row>
    <row r="632" spans="2:4" x14ac:dyDescent="0.25">
      <c r="B632" t="s">
        <v>1331</v>
      </c>
      <c r="C632" t="s">
        <v>1332</v>
      </c>
      <c r="D632" t="str">
        <f t="shared" si="10"/>
        <v>Pérdidas por deterioro de créditos a largo plazo, empresas del grupo</v>
      </c>
    </row>
    <row r="633" spans="2:4" x14ac:dyDescent="0.25">
      <c r="B633" t="s">
        <v>1333</v>
      </c>
      <c r="C633" t="s">
        <v>1334</v>
      </c>
      <c r="D633" t="str">
        <f t="shared" si="10"/>
        <v>Pérdidas por deterioro de créditos a largo plazo, empresas asociadas</v>
      </c>
    </row>
    <row r="634" spans="2:4" x14ac:dyDescent="0.25">
      <c r="B634" t="s">
        <v>1335</v>
      </c>
      <c r="C634" t="s">
        <v>1336</v>
      </c>
      <c r="D634" t="str">
        <f t="shared" si="10"/>
        <v>Pérdidas por deterioro de créditos a largo plazo, otras partes vinculadas</v>
      </c>
    </row>
    <row r="635" spans="2:4" x14ac:dyDescent="0.25">
      <c r="B635" t="s">
        <v>480</v>
      </c>
      <c r="C635" t="s">
        <v>1337</v>
      </c>
      <c r="D635" t="str">
        <f t="shared" si="10"/>
        <v>Pérdidas por deterioro de créditos a largo plazo, otras empresas</v>
      </c>
    </row>
    <row r="636" spans="2:4" x14ac:dyDescent="0.25">
      <c r="B636" t="s">
        <v>1338</v>
      </c>
      <c r="C636" t="s">
        <v>1339</v>
      </c>
      <c r="D636" t="str">
        <f t="shared" si="10"/>
        <v>Pérdidas por deterioro de participaciones y valores representativos de deuda a corto plazo</v>
      </c>
    </row>
    <row r="637" spans="2:4" x14ac:dyDescent="0.25">
      <c r="B637" t="s">
        <v>1340</v>
      </c>
      <c r="C637" t="s">
        <v>1341</v>
      </c>
      <c r="D637" t="str">
        <f t="shared" si="10"/>
        <v>Pérdidas por deterioro de participaciones en instrumentos de patrimonio neto a corto plazo, empresas del grupo</v>
      </c>
    </row>
    <row r="638" spans="2:4" x14ac:dyDescent="0.25">
      <c r="B638" t="s">
        <v>1342</v>
      </c>
      <c r="C638" t="s">
        <v>1343</v>
      </c>
      <c r="D638" t="str">
        <f t="shared" si="10"/>
        <v>Pérdidas por deterioro de participaciones en instrumentos de patrimonio neto a corto plazo, empresas asociadas</v>
      </c>
    </row>
    <row r="639" spans="2:4" x14ac:dyDescent="0.25">
      <c r="B639" t="s">
        <v>1344</v>
      </c>
      <c r="C639" t="s">
        <v>1345</v>
      </c>
      <c r="D639" t="str">
        <f t="shared" si="10"/>
        <v>Pérdidas por deterioro en valores representativos de deuda a corto plazo, empresas del grupo</v>
      </c>
    </row>
    <row r="640" spans="2:4" x14ac:dyDescent="0.25">
      <c r="B640" t="s">
        <v>1346</v>
      </c>
      <c r="C640" t="s">
        <v>1347</v>
      </c>
      <c r="D640" t="str">
        <f t="shared" si="10"/>
        <v>Pérdidas por deterioro en valores representativos de deuda a corto plazo, empresas asociadas</v>
      </c>
    </row>
    <row r="641" spans="2:4" x14ac:dyDescent="0.25">
      <c r="B641" t="s">
        <v>1348</v>
      </c>
      <c r="C641" t="s">
        <v>1349</v>
      </c>
      <c r="D641" t="str">
        <f t="shared" si="10"/>
        <v>Pérdidas por deterioro en valores representativos de deuda a corto plazo, otras partes vinculadas</v>
      </c>
    </row>
    <row r="642" spans="2:4" x14ac:dyDescent="0.25">
      <c r="B642" t="s">
        <v>1350</v>
      </c>
      <c r="C642" t="s">
        <v>1351</v>
      </c>
      <c r="D642" t="str">
        <f t="shared" si="10"/>
        <v>Pérdidas por deterioro en valores representativos de deuda a corto plazo, de otras empresas</v>
      </c>
    </row>
    <row r="643" spans="2:4" x14ac:dyDescent="0.25">
      <c r="B643" t="s">
        <v>481</v>
      </c>
      <c r="C643" t="s">
        <v>1352</v>
      </c>
      <c r="D643" t="str">
        <f t="shared" si="10"/>
        <v>Pérdidas por deterioro de créditos a corto plazo</v>
      </c>
    </row>
    <row r="644" spans="2:4" x14ac:dyDescent="0.25">
      <c r="B644" t="s">
        <v>1353</v>
      </c>
      <c r="C644" t="s">
        <v>1354</v>
      </c>
      <c r="D644" t="str">
        <f t="shared" si="10"/>
        <v>Pérdidas por deterioro de créditos a corto plazo, empresas del grupo</v>
      </c>
    </row>
    <row r="645" spans="2:4" x14ac:dyDescent="0.25">
      <c r="B645" t="s">
        <v>1355</v>
      </c>
      <c r="C645" t="s">
        <v>1356</v>
      </c>
      <c r="D645" t="str">
        <f t="shared" si="10"/>
        <v>Pérdidas por deterioro de créditos a corto plazo, empresas asociadas</v>
      </c>
    </row>
    <row r="646" spans="2:4" x14ac:dyDescent="0.25">
      <c r="B646" t="s">
        <v>1357</v>
      </c>
      <c r="C646" t="s">
        <v>1358</v>
      </c>
      <c r="D646" t="str">
        <f t="shared" si="10"/>
        <v>Pérdidas por deterioro de créditos a corto plazo, otras partes vinculadas</v>
      </c>
    </row>
    <row r="647" spans="2:4" x14ac:dyDescent="0.25">
      <c r="B647" t="s">
        <v>482</v>
      </c>
      <c r="C647" t="s">
        <v>1359</v>
      </c>
      <c r="D647" t="str">
        <f t="shared" si="10"/>
        <v>Pérdidas por deterioro de créditos a corto plazo, otras empresas</v>
      </c>
    </row>
    <row r="648" spans="2:4" x14ac:dyDescent="0.25">
      <c r="B648" t="s">
        <v>1360</v>
      </c>
      <c r="C648" t="s">
        <v>1361</v>
      </c>
      <c r="D648" t="str">
        <f t="shared" ref="D648:D711" si="11">MID(B648,FIND(".",B648)+2,LEN(B648))</f>
        <v>VENTAS DE MERCADERÍAS, DE PRODUCCIÓN PROPIA, DE SERVICIOS, ETC</v>
      </c>
    </row>
    <row r="649" spans="2:4" x14ac:dyDescent="0.25">
      <c r="B649" t="s">
        <v>483</v>
      </c>
      <c r="C649" t="s">
        <v>1362</v>
      </c>
      <c r="D649" t="str">
        <f t="shared" si="11"/>
        <v>Ventas de mercaderías</v>
      </c>
    </row>
    <row r="650" spans="2:4" x14ac:dyDescent="0.25">
      <c r="B650" t="s">
        <v>484</v>
      </c>
      <c r="C650" t="s">
        <v>1363</v>
      </c>
      <c r="D650" t="str">
        <f t="shared" si="11"/>
        <v>Ventas de productos terminados</v>
      </c>
    </row>
    <row r="651" spans="2:4" x14ac:dyDescent="0.25">
      <c r="B651" t="s">
        <v>485</v>
      </c>
      <c r="C651" t="s">
        <v>1364</v>
      </c>
      <c r="D651" t="str">
        <f t="shared" si="11"/>
        <v>Ventas de productos semiterminados</v>
      </c>
    </row>
    <row r="652" spans="2:4" x14ac:dyDescent="0.25">
      <c r="B652" t="s">
        <v>486</v>
      </c>
      <c r="C652" t="s">
        <v>1365</v>
      </c>
      <c r="D652" t="str">
        <f t="shared" si="11"/>
        <v>Ventas de subproductos y residuos</v>
      </c>
    </row>
    <row r="653" spans="2:4" x14ac:dyDescent="0.25">
      <c r="B653" t="s">
        <v>487</v>
      </c>
      <c r="C653" t="s">
        <v>1366</v>
      </c>
      <c r="D653" t="str">
        <f t="shared" si="11"/>
        <v>Ventas de envases y embalajes</v>
      </c>
    </row>
    <row r="654" spans="2:4" x14ac:dyDescent="0.25">
      <c r="B654" t="s">
        <v>488</v>
      </c>
      <c r="C654" t="s">
        <v>1367</v>
      </c>
      <c r="D654" t="str">
        <f t="shared" si="11"/>
        <v>Prestaciones de servicios</v>
      </c>
    </row>
    <row r="655" spans="2:4" x14ac:dyDescent="0.25">
      <c r="B655" t="s">
        <v>489</v>
      </c>
      <c r="C655" t="s">
        <v>1368</v>
      </c>
      <c r="D655" t="str">
        <f t="shared" si="11"/>
        <v>Descuentos sobre ventas por pronto pago</v>
      </c>
    </row>
    <row r="656" spans="2:4" x14ac:dyDescent="0.25">
      <c r="B656" t="s">
        <v>490</v>
      </c>
      <c r="C656" t="s">
        <v>1369</v>
      </c>
      <c r="D656" t="str">
        <f t="shared" si="11"/>
        <v>Descuentos sobre ventas por pronto pago de mercaderías</v>
      </c>
    </row>
    <row r="657" spans="2:4" x14ac:dyDescent="0.25">
      <c r="B657" t="s">
        <v>1370</v>
      </c>
      <c r="C657" t="s">
        <v>1371</v>
      </c>
      <c r="D657" t="str">
        <f t="shared" si="11"/>
        <v>Descuentos sobre ventas por pronto pago de productos terminados</v>
      </c>
    </row>
    <row r="658" spans="2:4" x14ac:dyDescent="0.25">
      <c r="B658" t="s">
        <v>491</v>
      </c>
      <c r="C658" t="s">
        <v>1372</v>
      </c>
      <c r="D658" t="str">
        <f t="shared" si="11"/>
        <v>Descuentos sobre ventas por pronto pago de productos semiterminados</v>
      </c>
    </row>
    <row r="659" spans="2:4" x14ac:dyDescent="0.25">
      <c r="B659" t="s">
        <v>1373</v>
      </c>
      <c r="C659" t="s">
        <v>1374</v>
      </c>
      <c r="D659" t="str">
        <f t="shared" si="11"/>
        <v>Descuentos sobre ventas por pronto pago de subproductos y residuos</v>
      </c>
    </row>
    <row r="660" spans="2:4" x14ac:dyDescent="0.25">
      <c r="B660" t="s">
        <v>492</v>
      </c>
      <c r="C660" t="s">
        <v>1375</v>
      </c>
      <c r="D660" t="str">
        <f t="shared" si="11"/>
        <v>Devoluciones de ventas y operaciones similares</v>
      </c>
    </row>
    <row r="661" spans="2:4" x14ac:dyDescent="0.25">
      <c r="B661" t="s">
        <v>493</v>
      </c>
      <c r="C661" t="s">
        <v>1376</v>
      </c>
      <c r="D661" t="str">
        <f t="shared" si="11"/>
        <v>Devoluciones de ventas de mercaderías</v>
      </c>
    </row>
    <row r="662" spans="2:4" x14ac:dyDescent="0.25">
      <c r="B662" t="s">
        <v>494</v>
      </c>
      <c r="C662" t="s">
        <v>1377</v>
      </c>
      <c r="D662" t="str">
        <f t="shared" si="11"/>
        <v>Devoluciones de ventas de productos terminados</v>
      </c>
    </row>
    <row r="663" spans="2:4" x14ac:dyDescent="0.25">
      <c r="B663" t="s">
        <v>495</v>
      </c>
      <c r="C663" t="s">
        <v>1378</v>
      </c>
      <c r="D663" t="str">
        <f t="shared" si="11"/>
        <v>Devoluciones de ventas de productos semiterminados</v>
      </c>
    </row>
    <row r="664" spans="2:4" x14ac:dyDescent="0.25">
      <c r="B664" t="s">
        <v>496</v>
      </c>
      <c r="C664" t="s">
        <v>1379</v>
      </c>
      <c r="D664" t="str">
        <f t="shared" si="11"/>
        <v>Devoluciones de ventas de subproductos y residuos</v>
      </c>
    </row>
    <row r="665" spans="2:4" x14ac:dyDescent="0.25">
      <c r="B665" t="s">
        <v>497</v>
      </c>
      <c r="C665" t="s">
        <v>1380</v>
      </c>
      <c r="D665" t="str">
        <f t="shared" si="11"/>
        <v>Devoluciones de ventas de envases y embalajes</v>
      </c>
    </row>
    <row r="666" spans="2:4" x14ac:dyDescent="0.25">
      <c r="B666" t="s">
        <v>498</v>
      </c>
      <c r="C666" t="s">
        <v>1381</v>
      </c>
      <c r="D666" t="str">
        <f t="shared" si="11"/>
        <v>“Rappels” sobre ventas</v>
      </c>
    </row>
    <row r="667" spans="2:4" x14ac:dyDescent="0.25">
      <c r="B667" t="s">
        <v>499</v>
      </c>
      <c r="C667" t="s">
        <v>1382</v>
      </c>
      <c r="D667" t="str">
        <f t="shared" si="11"/>
        <v>“Rappels” sobre ventas de mercaderías</v>
      </c>
    </row>
    <row r="668" spans="2:4" x14ac:dyDescent="0.25">
      <c r="B668" t="s">
        <v>500</v>
      </c>
      <c r="C668" t="s">
        <v>1383</v>
      </c>
      <c r="D668" t="str">
        <f t="shared" si="11"/>
        <v>“Rappels” sobre ventas de productos terminados</v>
      </c>
    </row>
    <row r="669" spans="2:4" x14ac:dyDescent="0.25">
      <c r="B669" t="s">
        <v>501</v>
      </c>
      <c r="C669" t="s">
        <v>1384</v>
      </c>
      <c r="D669" t="str">
        <f t="shared" si="11"/>
        <v>“Rappels” sobre ventas de productos semiterminados</v>
      </c>
    </row>
    <row r="670" spans="2:4" x14ac:dyDescent="0.25">
      <c r="B670" t="s">
        <v>502</v>
      </c>
      <c r="C670" t="s">
        <v>1385</v>
      </c>
      <c r="D670" t="str">
        <f t="shared" si="11"/>
        <v>“Rappels” sobre ventas de subproductos y residuos</v>
      </c>
    </row>
    <row r="671" spans="2:4" x14ac:dyDescent="0.25">
      <c r="B671" t="s">
        <v>503</v>
      </c>
      <c r="C671" t="s">
        <v>1386</v>
      </c>
      <c r="D671" t="str">
        <f t="shared" si="11"/>
        <v>“Rappels” sobre ventas de envases y embalajes</v>
      </c>
    </row>
    <row r="672" spans="2:4" x14ac:dyDescent="0.25">
      <c r="B672" t="s">
        <v>504</v>
      </c>
      <c r="C672" t="s">
        <v>1387</v>
      </c>
      <c r="D672" t="str">
        <f t="shared" si="11"/>
        <v>VARIACIÓN DE EXISTENCIAS</v>
      </c>
    </row>
    <row r="673" spans="2:4" x14ac:dyDescent="0.25">
      <c r="B673" t="s">
        <v>505</v>
      </c>
      <c r="C673" t="s">
        <v>1388</v>
      </c>
      <c r="D673" t="str">
        <f t="shared" si="11"/>
        <v>Variación de existencias de productos en curso</v>
      </c>
    </row>
    <row r="674" spans="2:4" x14ac:dyDescent="0.25">
      <c r="B674" t="s">
        <v>506</v>
      </c>
      <c r="C674" t="s">
        <v>1389</v>
      </c>
      <c r="D674" t="str">
        <f t="shared" si="11"/>
        <v>Variación de existencias de productos semiterminados</v>
      </c>
    </row>
    <row r="675" spans="2:4" x14ac:dyDescent="0.25">
      <c r="B675" t="s">
        <v>507</v>
      </c>
      <c r="C675" t="s">
        <v>1390</v>
      </c>
      <c r="D675" t="str">
        <f t="shared" si="11"/>
        <v>Variación de existencias de productos terminados</v>
      </c>
    </row>
    <row r="676" spans="2:4" x14ac:dyDescent="0.25">
      <c r="B676" t="s">
        <v>1391</v>
      </c>
      <c r="C676" t="s">
        <v>1392</v>
      </c>
      <c r="D676" t="str">
        <f t="shared" si="11"/>
        <v>Variación de existencias de subproductos, residuos y materiales recuperados</v>
      </c>
    </row>
    <row r="677" spans="2:4" x14ac:dyDescent="0.25">
      <c r="B677" t="s">
        <v>508</v>
      </c>
      <c r="C677" t="s">
        <v>1393</v>
      </c>
      <c r="D677" t="str">
        <f t="shared" si="11"/>
        <v>TRABAJOS REALIZADOS PARA LA EMPRESA</v>
      </c>
    </row>
    <row r="678" spans="2:4" x14ac:dyDescent="0.25">
      <c r="B678" t="s">
        <v>509</v>
      </c>
      <c r="C678" t="s">
        <v>1394</v>
      </c>
      <c r="D678" t="str">
        <f t="shared" si="11"/>
        <v>Trabajos realizados para el inmovilizado intangible</v>
      </c>
    </row>
    <row r="679" spans="2:4" x14ac:dyDescent="0.25">
      <c r="B679" t="s">
        <v>510</v>
      </c>
      <c r="C679" t="s">
        <v>1395</v>
      </c>
      <c r="D679" t="str">
        <f t="shared" si="11"/>
        <v>Trabajos realizados para el inmovilizado material</v>
      </c>
    </row>
    <row r="680" spans="2:4" x14ac:dyDescent="0.25">
      <c r="B680" t="s">
        <v>511</v>
      </c>
      <c r="C680" t="s">
        <v>1396</v>
      </c>
      <c r="D680" t="str">
        <f t="shared" si="11"/>
        <v>Trabajos realizados en inversiones inmobiliarias</v>
      </c>
    </row>
    <row r="681" spans="2:4" x14ac:dyDescent="0.25">
      <c r="B681" t="s">
        <v>1397</v>
      </c>
      <c r="C681" t="s">
        <v>1398</v>
      </c>
      <c r="D681" t="str">
        <f t="shared" si="11"/>
        <v>Trabajos realizados para el inmovilizado material en curso</v>
      </c>
    </row>
    <row r="682" spans="2:4" x14ac:dyDescent="0.25">
      <c r="B682" t="s">
        <v>512</v>
      </c>
      <c r="C682" t="s">
        <v>1399</v>
      </c>
      <c r="D682" t="str">
        <f t="shared" si="11"/>
        <v>SUBVENCIONES, DONACIONES Y LEGADOS</v>
      </c>
    </row>
    <row r="683" spans="2:4" x14ac:dyDescent="0.25">
      <c r="B683" t="s">
        <v>513</v>
      </c>
      <c r="C683" t="s">
        <v>1400</v>
      </c>
      <c r="D683" t="str">
        <f t="shared" si="11"/>
        <v>Subvenciones, donaciones y legados a la explotación</v>
      </c>
    </row>
    <row r="684" spans="2:4" x14ac:dyDescent="0.25">
      <c r="B684" t="s">
        <v>1401</v>
      </c>
      <c r="C684" t="s">
        <v>1402</v>
      </c>
      <c r="D684" t="str">
        <f t="shared" si="11"/>
        <v>Subvenciones, donaciones y legados de capital transferidos al resultado del ejercicio</v>
      </c>
    </row>
    <row r="685" spans="2:4" x14ac:dyDescent="0.25">
      <c r="B685" t="s">
        <v>1403</v>
      </c>
      <c r="C685" t="s">
        <v>1404</v>
      </c>
      <c r="D685" t="str">
        <f t="shared" si="11"/>
        <v>Otras subvenciones, donaciones y legados transferidos al resultado del ejercicio</v>
      </c>
    </row>
    <row r="686" spans="2:4" x14ac:dyDescent="0.25">
      <c r="B686" t="s">
        <v>514</v>
      </c>
      <c r="C686" t="s">
        <v>1405</v>
      </c>
      <c r="D686" t="str">
        <f t="shared" si="11"/>
        <v>OTROS INGRESOS DE GESTIÓN</v>
      </c>
    </row>
    <row r="687" spans="2:4" x14ac:dyDescent="0.25">
      <c r="B687" t="s">
        <v>515</v>
      </c>
      <c r="C687" t="s">
        <v>1406</v>
      </c>
      <c r="D687" t="str">
        <f t="shared" si="11"/>
        <v>Resultados de operaciones en común</v>
      </c>
    </row>
    <row r="688" spans="2:4" x14ac:dyDescent="0.25">
      <c r="B688" t="s">
        <v>516</v>
      </c>
      <c r="C688" t="s">
        <v>1407</v>
      </c>
      <c r="D688" t="str">
        <f t="shared" si="11"/>
        <v>Pérdida transferida (gestor)</v>
      </c>
    </row>
    <row r="689" spans="2:4" x14ac:dyDescent="0.25">
      <c r="B689" t="s">
        <v>1408</v>
      </c>
      <c r="C689" t="s">
        <v>1409</v>
      </c>
      <c r="D689" t="str">
        <f t="shared" si="11"/>
        <v>Beneficio atribuido (partícipe o asociado no gestor)</v>
      </c>
    </row>
    <row r="690" spans="2:4" x14ac:dyDescent="0.25">
      <c r="B690" t="s">
        <v>517</v>
      </c>
      <c r="C690" t="s">
        <v>1410</v>
      </c>
      <c r="D690" t="str">
        <f t="shared" si="11"/>
        <v>Ingresos por arrendamientos</v>
      </c>
    </row>
    <row r="691" spans="2:4" x14ac:dyDescent="0.25">
      <c r="B691" t="s">
        <v>518</v>
      </c>
      <c r="C691" t="s">
        <v>1411</v>
      </c>
      <c r="D691" t="str">
        <f t="shared" si="11"/>
        <v>Ingresos de propiedad industrial cedida en explotación</v>
      </c>
    </row>
    <row r="692" spans="2:4" x14ac:dyDescent="0.25">
      <c r="B692" t="s">
        <v>519</v>
      </c>
      <c r="C692" t="s">
        <v>1412</v>
      </c>
      <c r="D692" t="str">
        <f t="shared" si="11"/>
        <v>Ingresos por comisiones</v>
      </c>
    </row>
    <row r="693" spans="2:4" x14ac:dyDescent="0.25">
      <c r="B693" t="s">
        <v>520</v>
      </c>
      <c r="C693" t="s">
        <v>1413</v>
      </c>
      <c r="D693" t="str">
        <f t="shared" si="11"/>
        <v>Ingresos por servicios al personal</v>
      </c>
    </row>
    <row r="694" spans="2:4" x14ac:dyDescent="0.25">
      <c r="B694" t="s">
        <v>521</v>
      </c>
      <c r="C694" t="s">
        <v>1414</v>
      </c>
      <c r="D694" t="str">
        <f t="shared" si="11"/>
        <v>Ingresos por servicios diversos</v>
      </c>
    </row>
    <row r="695" spans="2:4" x14ac:dyDescent="0.25">
      <c r="B695" t="s">
        <v>522</v>
      </c>
      <c r="C695" t="s">
        <v>1415</v>
      </c>
      <c r="D695" t="str">
        <f t="shared" si="11"/>
        <v>INGRESOS FINANCIEROS</v>
      </c>
    </row>
    <row r="696" spans="2:4" x14ac:dyDescent="0.25">
      <c r="B696" t="s">
        <v>523</v>
      </c>
      <c r="C696" t="s">
        <v>1416</v>
      </c>
      <c r="D696" t="str">
        <f t="shared" si="11"/>
        <v>Ingresos de participaciones en instrumentos de patrimonio</v>
      </c>
    </row>
    <row r="697" spans="2:4" x14ac:dyDescent="0.25">
      <c r="B697" t="s">
        <v>1417</v>
      </c>
      <c r="C697" t="s">
        <v>1418</v>
      </c>
      <c r="D697" t="str">
        <f t="shared" si="11"/>
        <v>Ingresos de participaciones en instrumentos de patrimonio, empresas del grupo</v>
      </c>
    </row>
    <row r="698" spans="2:4" x14ac:dyDescent="0.25">
      <c r="B698" t="s">
        <v>1419</v>
      </c>
      <c r="C698" t="s">
        <v>1420</v>
      </c>
      <c r="D698" t="str">
        <f t="shared" si="11"/>
        <v>Ingresos de participaciones en instrumentos de patrimonio, empresas asociadas</v>
      </c>
    </row>
    <row r="699" spans="2:4" x14ac:dyDescent="0.25">
      <c r="B699" t="s">
        <v>1421</v>
      </c>
      <c r="C699" t="s">
        <v>1422</v>
      </c>
      <c r="D699" t="str">
        <f t="shared" si="11"/>
        <v>Ingresos de participaciones en instrumentos de patrimonio, otras partes vinculadas</v>
      </c>
    </row>
    <row r="700" spans="2:4" x14ac:dyDescent="0.25">
      <c r="B700" t="s">
        <v>1423</v>
      </c>
      <c r="C700" t="s">
        <v>1424</v>
      </c>
      <c r="D700" t="str">
        <f t="shared" si="11"/>
        <v>Ingresos de participaciones en instrumentos de patrimonio, otras empresas</v>
      </c>
    </row>
    <row r="701" spans="2:4" x14ac:dyDescent="0.25">
      <c r="B701" t="s">
        <v>524</v>
      </c>
      <c r="C701" t="s">
        <v>1425</v>
      </c>
      <c r="D701" t="str">
        <f t="shared" si="11"/>
        <v>Ingresos de valores representativos de deuda</v>
      </c>
    </row>
    <row r="702" spans="2:4" x14ac:dyDescent="0.25">
      <c r="B702" t="s">
        <v>1426</v>
      </c>
      <c r="C702" t="s">
        <v>1427</v>
      </c>
      <c r="D702" t="str">
        <f t="shared" si="11"/>
        <v>Ingresos de valores representativos de deuda, empresas del grupo</v>
      </c>
    </row>
    <row r="703" spans="2:4" x14ac:dyDescent="0.25">
      <c r="B703" t="s">
        <v>1428</v>
      </c>
      <c r="C703" t="s">
        <v>1429</v>
      </c>
      <c r="D703" t="str">
        <f t="shared" si="11"/>
        <v>Ingresos de valores representativos de deuda, empresas asociadas</v>
      </c>
    </row>
    <row r="704" spans="2:4" x14ac:dyDescent="0.25">
      <c r="B704" t="s">
        <v>1430</v>
      </c>
      <c r="C704" t="s">
        <v>1431</v>
      </c>
      <c r="D704" t="str">
        <f t="shared" si="11"/>
        <v>Ingresos de valores representativos de deuda, otras partes vinculadas</v>
      </c>
    </row>
    <row r="705" spans="2:4" x14ac:dyDescent="0.25">
      <c r="B705" t="s">
        <v>525</v>
      </c>
      <c r="C705" t="s">
        <v>1432</v>
      </c>
      <c r="D705" t="str">
        <f t="shared" si="11"/>
        <v>Ingresos de valores representativos de deuda, otras empresas</v>
      </c>
    </row>
    <row r="706" spans="2:4" x14ac:dyDescent="0.25">
      <c r="B706" t="s">
        <v>526</v>
      </c>
      <c r="C706" t="s">
        <v>1433</v>
      </c>
      <c r="D706" t="str">
        <f t="shared" si="11"/>
        <v>Ingresos de créditos</v>
      </c>
    </row>
    <row r="707" spans="2:4" x14ac:dyDescent="0.25">
      <c r="B707" t="s">
        <v>527</v>
      </c>
      <c r="C707" t="s">
        <v>1434</v>
      </c>
      <c r="D707" t="str">
        <f t="shared" si="11"/>
        <v>Ingresos de créditos a largo plazo</v>
      </c>
    </row>
    <row r="708" spans="2:4" x14ac:dyDescent="0.25">
      <c r="B708" t="s">
        <v>528</v>
      </c>
      <c r="C708" t="s">
        <v>1435</v>
      </c>
      <c r="D708" t="str">
        <f t="shared" si="11"/>
        <v>Ingresos de créditos a largo plazo, empresas del grupo</v>
      </c>
    </row>
    <row r="709" spans="2:4" x14ac:dyDescent="0.25">
      <c r="B709" t="s">
        <v>529</v>
      </c>
      <c r="C709" t="s">
        <v>1436</v>
      </c>
      <c r="D709" t="str">
        <f t="shared" si="11"/>
        <v>Ingresos de créditos a largo plazo, empresas asociadas</v>
      </c>
    </row>
    <row r="710" spans="2:4" x14ac:dyDescent="0.25">
      <c r="B710" t="s">
        <v>530</v>
      </c>
      <c r="C710" t="s">
        <v>1437</v>
      </c>
      <c r="D710" t="str">
        <f t="shared" si="11"/>
        <v>Ingresos de créditos a largo plazo, otras partes vinculadas</v>
      </c>
    </row>
    <row r="711" spans="2:4" x14ac:dyDescent="0.25">
      <c r="B711" t="s">
        <v>531</v>
      </c>
      <c r="C711" t="s">
        <v>1438</v>
      </c>
      <c r="D711" t="str">
        <f t="shared" si="11"/>
        <v>I ngresos de créditos a largo plazo, otras empresas</v>
      </c>
    </row>
    <row r="712" spans="2:4" x14ac:dyDescent="0.25">
      <c r="B712" t="s">
        <v>532</v>
      </c>
      <c r="C712" t="s">
        <v>1439</v>
      </c>
      <c r="D712" t="str">
        <f t="shared" ref="D712:D775" si="12">MID(B712,FIND(".",B712)+2,LEN(B712))</f>
        <v>Ingresos de créditos a corto plazo</v>
      </c>
    </row>
    <row r="713" spans="2:4" x14ac:dyDescent="0.25">
      <c r="B713" t="s">
        <v>533</v>
      </c>
      <c r="C713" t="s">
        <v>1440</v>
      </c>
      <c r="D713" t="str">
        <f t="shared" si="12"/>
        <v>Ingresos de créditos a corto plazo, empresas del grupo</v>
      </c>
    </row>
    <row r="714" spans="2:4" x14ac:dyDescent="0.25">
      <c r="B714" t="s">
        <v>534</v>
      </c>
      <c r="C714" t="s">
        <v>1441</v>
      </c>
      <c r="D714" t="str">
        <f t="shared" si="12"/>
        <v>Ingresos de créditos a corto plazo, empresas asociadas</v>
      </c>
    </row>
    <row r="715" spans="2:4" x14ac:dyDescent="0.25">
      <c r="B715" t="s">
        <v>535</v>
      </c>
      <c r="C715" t="s">
        <v>1442</v>
      </c>
      <c r="D715" t="str">
        <f t="shared" si="12"/>
        <v>Ingresos de créditos a corto plazo, otras partes vinculadas</v>
      </c>
    </row>
    <row r="716" spans="2:4" x14ac:dyDescent="0.25">
      <c r="B716" t="s">
        <v>536</v>
      </c>
      <c r="C716" t="s">
        <v>1443</v>
      </c>
      <c r="D716" t="str">
        <f t="shared" si="12"/>
        <v>Ingresos de créditos a corto plazo, otras empresas</v>
      </c>
    </row>
    <row r="717" spans="2:4" x14ac:dyDescent="0.25">
      <c r="B717" t="s">
        <v>1444</v>
      </c>
      <c r="C717" t="s">
        <v>1445</v>
      </c>
      <c r="D717" t="str">
        <f t="shared" si="12"/>
        <v>Beneficios por valoración de activos y pasivos financieros por su valor razonable</v>
      </c>
    </row>
    <row r="718" spans="2:4" x14ac:dyDescent="0.25">
      <c r="B718" t="s">
        <v>1446</v>
      </c>
      <c r="C718" t="s">
        <v>1447</v>
      </c>
      <c r="D718" t="str">
        <f t="shared" si="12"/>
        <v>Beneficios en participaciones y valores representativos de deuda</v>
      </c>
    </row>
    <row r="719" spans="2:4" x14ac:dyDescent="0.25">
      <c r="B719" t="s">
        <v>1448</v>
      </c>
      <c r="C719" t="s">
        <v>1449</v>
      </c>
      <c r="D719" t="str">
        <f t="shared" si="12"/>
        <v>Beneficios en valores representativos de deuda a largo plazo, empresas del grupo</v>
      </c>
    </row>
    <row r="720" spans="2:4" x14ac:dyDescent="0.25">
      <c r="B720" t="s">
        <v>1450</v>
      </c>
      <c r="C720" t="s">
        <v>1451</v>
      </c>
      <c r="D720" t="str">
        <f t="shared" si="12"/>
        <v>Beneficios en valores representativos de deuda a largo plazo, empresas asociadas</v>
      </c>
    </row>
    <row r="721" spans="2:4" x14ac:dyDescent="0.25">
      <c r="B721" t="s">
        <v>1452</v>
      </c>
      <c r="C721" t="s">
        <v>1453</v>
      </c>
      <c r="D721" t="str">
        <f t="shared" si="12"/>
        <v>Beneficios en valores representativos de deuda a largo plazo, otras partes vinculadas</v>
      </c>
    </row>
    <row r="722" spans="2:4" x14ac:dyDescent="0.25">
      <c r="B722" t="s">
        <v>1454</v>
      </c>
      <c r="C722" t="s">
        <v>1455</v>
      </c>
      <c r="D722" t="str">
        <f t="shared" si="12"/>
        <v>Beneficios en participaciones y valores representativos de deuda a largo plazo, otras empresas</v>
      </c>
    </row>
    <row r="723" spans="2:4" x14ac:dyDescent="0.25">
      <c r="B723" t="s">
        <v>1456</v>
      </c>
      <c r="C723" t="s">
        <v>1457</v>
      </c>
      <c r="D723" t="str">
        <f t="shared" si="12"/>
        <v>Beneficios en participaciones y valores representativos de deuda a corto plazo, empresas del grupo</v>
      </c>
    </row>
    <row r="724" spans="2:4" x14ac:dyDescent="0.25">
      <c r="B724" t="s">
        <v>1458</v>
      </c>
      <c r="C724" t="s">
        <v>1459</v>
      </c>
      <c r="D724" t="str">
        <f t="shared" si="12"/>
        <v>Beneficios en participaciones y valores representativos de deuda a corto plazo, empresas asociadas</v>
      </c>
    </row>
    <row r="725" spans="2:4" x14ac:dyDescent="0.25">
      <c r="B725" t="s">
        <v>1460</v>
      </c>
      <c r="C725" t="s">
        <v>1461</v>
      </c>
      <c r="D725" t="str">
        <f t="shared" si="12"/>
        <v>Beneficios en valores representativos de deuda a corto plazo, otras partes vinculadas</v>
      </c>
    </row>
    <row r="726" spans="2:4" x14ac:dyDescent="0.25">
      <c r="B726" t="s">
        <v>1462</v>
      </c>
      <c r="C726" t="s">
        <v>1463</v>
      </c>
      <c r="D726" t="str">
        <f t="shared" si="12"/>
        <v>Beneficios en valores representativos de deuda a corto plazo, otras empresas</v>
      </c>
    </row>
    <row r="727" spans="2:4" x14ac:dyDescent="0.25">
      <c r="B727" t="s">
        <v>537</v>
      </c>
      <c r="C727" t="s">
        <v>1464</v>
      </c>
      <c r="D727" t="str">
        <f t="shared" si="12"/>
        <v>Diferencias positivas de cambio</v>
      </c>
    </row>
    <row r="728" spans="2:4" x14ac:dyDescent="0.25">
      <c r="B728" t="s">
        <v>538</v>
      </c>
      <c r="C728" t="s">
        <v>1465</v>
      </c>
      <c r="D728" t="str">
        <f t="shared" si="12"/>
        <v>Otros ingresos financieros</v>
      </c>
    </row>
    <row r="729" spans="2:4" x14ac:dyDescent="0.25">
      <c r="B729" t="s">
        <v>1466</v>
      </c>
      <c r="C729" t="s">
        <v>1467</v>
      </c>
      <c r="D729" t="str">
        <f t="shared" si="12"/>
        <v>BENEFICIOS PROCEDENTES DE ACTIVOS NO CORRIENTES E INGRESOS EXCEPCIONALES</v>
      </c>
    </row>
    <row r="730" spans="2:4" x14ac:dyDescent="0.25">
      <c r="B730" t="s">
        <v>539</v>
      </c>
      <c r="C730" t="s">
        <v>1468</v>
      </c>
      <c r="D730" t="str">
        <f t="shared" si="12"/>
        <v>Beneficios procedentes del inmovilizado intangible</v>
      </c>
    </row>
    <row r="731" spans="2:4" x14ac:dyDescent="0.25">
      <c r="B731" t="s">
        <v>540</v>
      </c>
      <c r="C731" t="s">
        <v>1469</v>
      </c>
      <c r="D731" t="str">
        <f t="shared" si="12"/>
        <v>Beneficios procedentes del inmovilizado material</v>
      </c>
    </row>
    <row r="732" spans="2:4" x14ac:dyDescent="0.25">
      <c r="B732" t="s">
        <v>541</v>
      </c>
      <c r="C732" t="s">
        <v>1470</v>
      </c>
      <c r="D732" t="str">
        <f t="shared" si="12"/>
        <v>Beneficios procedentes de las inversiones inmobiliarias</v>
      </c>
    </row>
    <row r="733" spans="2:4" x14ac:dyDescent="0.25">
      <c r="B733" t="s">
        <v>1471</v>
      </c>
      <c r="C733" t="s">
        <v>1472</v>
      </c>
      <c r="D733" t="str">
        <f t="shared" si="12"/>
        <v>Beneficios procedentes de participaciones a largo plazo en partes vinculadas</v>
      </c>
    </row>
    <row r="734" spans="2:4" x14ac:dyDescent="0.25">
      <c r="B734" t="s">
        <v>1473</v>
      </c>
      <c r="C734" t="s">
        <v>1474</v>
      </c>
      <c r="D734" t="str">
        <f t="shared" si="12"/>
        <v>Beneficios procedentes de participaciones a largo plazo, empresas del grupo</v>
      </c>
    </row>
    <row r="735" spans="2:4" x14ac:dyDescent="0.25">
      <c r="B735" t="s">
        <v>1475</v>
      </c>
      <c r="C735" t="s">
        <v>1476</v>
      </c>
      <c r="D735" t="str">
        <f t="shared" si="12"/>
        <v>Beneficios procedentes de participaciones a largo plazo, empresas asociadas</v>
      </c>
    </row>
    <row r="736" spans="2:4" x14ac:dyDescent="0.25">
      <c r="B736" t="s">
        <v>1477</v>
      </c>
      <c r="C736" t="s">
        <v>1478</v>
      </c>
      <c r="D736" t="str">
        <f t="shared" si="12"/>
        <v>Beneficios procedentes de participaciones a largo plazo, otras partes vinculadas</v>
      </c>
    </row>
    <row r="737" spans="2:4" x14ac:dyDescent="0.25">
      <c r="B737" t="s">
        <v>542</v>
      </c>
      <c r="C737" t="s">
        <v>1479</v>
      </c>
      <c r="D737" t="str">
        <f t="shared" si="12"/>
        <v>Beneficios por operaciones con obligaciones propias</v>
      </c>
    </row>
    <row r="738" spans="2:4" x14ac:dyDescent="0.25">
      <c r="B738" t="s">
        <v>543</v>
      </c>
      <c r="C738" t="s">
        <v>1480</v>
      </c>
      <c r="D738" t="str">
        <f t="shared" si="12"/>
        <v>Ingresos excepcionales.</v>
      </c>
    </row>
    <row r="739" spans="2:4" x14ac:dyDescent="0.25">
      <c r="B739" t="s">
        <v>1481</v>
      </c>
      <c r="C739" t="s">
        <v>1482</v>
      </c>
      <c r="D739" t="str">
        <f t="shared" si="12"/>
        <v>EXCESOS Y APLICACIONES DE PROVISIONES Y DE PÉRDIDAS POR DETERIORO</v>
      </c>
    </row>
    <row r="740" spans="2:4" x14ac:dyDescent="0.25">
      <c r="B740" t="s">
        <v>544</v>
      </c>
      <c r="C740" t="s">
        <v>1483</v>
      </c>
      <c r="D740" t="str">
        <f t="shared" si="12"/>
        <v>Reversión del deterioro del inmovilizado intangible</v>
      </c>
    </row>
    <row r="741" spans="2:4" x14ac:dyDescent="0.25">
      <c r="B741" t="s">
        <v>545</v>
      </c>
      <c r="C741" t="s">
        <v>1484</v>
      </c>
      <c r="D741" t="str">
        <f t="shared" si="12"/>
        <v>Reversión del deterioro del inmovilizado material</v>
      </c>
    </row>
    <row r="742" spans="2:4" x14ac:dyDescent="0.25">
      <c r="B742" t="s">
        <v>546</v>
      </c>
      <c r="C742" t="s">
        <v>1485</v>
      </c>
      <c r="D742" t="str">
        <f t="shared" si="12"/>
        <v>Reversión del deterioro de las inversiones inmobiliarias</v>
      </c>
    </row>
    <row r="743" spans="2:4" x14ac:dyDescent="0.25">
      <c r="B743" t="s">
        <v>547</v>
      </c>
      <c r="C743" t="s">
        <v>1486</v>
      </c>
      <c r="D743" t="str">
        <f t="shared" si="12"/>
        <v>Reversión del deterioro de existencias</v>
      </c>
    </row>
    <row r="744" spans="2:4" x14ac:dyDescent="0.25">
      <c r="B744" t="s">
        <v>1487</v>
      </c>
      <c r="C744" t="s">
        <v>1488</v>
      </c>
      <c r="D744" t="str">
        <f t="shared" si="12"/>
        <v>Reversión del deterioro de productos terminados y en curso de fabricación</v>
      </c>
    </row>
    <row r="745" spans="2:4" x14ac:dyDescent="0.25">
      <c r="B745" t="s">
        <v>548</v>
      </c>
      <c r="C745" t="s">
        <v>1489</v>
      </c>
      <c r="D745" t="str">
        <f t="shared" si="12"/>
        <v>Reversión del deterioro de mercaderías</v>
      </c>
    </row>
    <row r="746" spans="2:4" x14ac:dyDescent="0.25">
      <c r="B746" t="s">
        <v>549</v>
      </c>
      <c r="C746" t="s">
        <v>1490</v>
      </c>
      <c r="D746" t="str">
        <f t="shared" si="12"/>
        <v>Reversión del deterioro de materias primas</v>
      </c>
    </row>
    <row r="747" spans="2:4" x14ac:dyDescent="0.25">
      <c r="B747" t="s">
        <v>550</v>
      </c>
      <c r="C747" t="s">
        <v>1491</v>
      </c>
      <c r="D747" t="str">
        <f t="shared" si="12"/>
        <v>Reversión del deterioro de otros aprovisionamientos</v>
      </c>
    </row>
    <row r="748" spans="2:4" x14ac:dyDescent="0.25">
      <c r="B748" t="s">
        <v>551</v>
      </c>
      <c r="C748" t="s">
        <v>1492</v>
      </c>
      <c r="D748" t="str">
        <f t="shared" si="12"/>
        <v>Reversión del deterioro de créditos por operaciones comerciales</v>
      </c>
    </row>
    <row r="749" spans="2:4" x14ac:dyDescent="0.25">
      <c r="B749" t="s">
        <v>552</v>
      </c>
      <c r="C749" t="s">
        <v>1493</v>
      </c>
      <c r="D749" t="str">
        <f t="shared" si="12"/>
        <v>Exceso de provisiones</v>
      </c>
    </row>
    <row r="750" spans="2:4" x14ac:dyDescent="0.25">
      <c r="B750" t="s">
        <v>553</v>
      </c>
      <c r="C750" t="s">
        <v>1494</v>
      </c>
      <c r="D750" t="str">
        <f t="shared" si="12"/>
        <v>Exceso de provisión para impuestos</v>
      </c>
    </row>
    <row r="751" spans="2:4" x14ac:dyDescent="0.25">
      <c r="B751" t="s">
        <v>554</v>
      </c>
      <c r="C751" t="s">
        <v>1495</v>
      </c>
      <c r="D751" t="str">
        <f t="shared" si="12"/>
        <v>Exceso de provisión para otras responsabilidades</v>
      </c>
    </row>
    <row r="752" spans="2:4" x14ac:dyDescent="0.25">
      <c r="B752" t="s">
        <v>555</v>
      </c>
      <c r="C752" t="s">
        <v>1496</v>
      </c>
      <c r="D752" t="str">
        <f t="shared" si="12"/>
        <v>Exceso de provisión por operaciones comerciales</v>
      </c>
    </row>
    <row r="753" spans="2:4" x14ac:dyDescent="0.25">
      <c r="B753" t="s">
        <v>556</v>
      </c>
      <c r="C753" t="s">
        <v>1497</v>
      </c>
      <c r="D753" t="str">
        <f t="shared" si="12"/>
        <v>Exceso de provisión por contratos onerosos</v>
      </c>
    </row>
    <row r="754" spans="2:4" x14ac:dyDescent="0.25">
      <c r="B754" t="s">
        <v>557</v>
      </c>
      <c r="C754" t="s">
        <v>1498</v>
      </c>
      <c r="D754" t="str">
        <f t="shared" si="12"/>
        <v>Exceso de provisión para otras operaciones comerciales</v>
      </c>
    </row>
    <row r="755" spans="2:4" x14ac:dyDescent="0.25">
      <c r="B755" t="s">
        <v>558</v>
      </c>
      <c r="C755" t="s">
        <v>1499</v>
      </c>
      <c r="D755" t="str">
        <f t="shared" si="12"/>
        <v>Exceso de provisión para actuaciones medioambientales</v>
      </c>
    </row>
    <row r="756" spans="2:4" x14ac:dyDescent="0.25">
      <c r="B756" t="s">
        <v>1500</v>
      </c>
      <c r="C756" t="s">
        <v>1501</v>
      </c>
      <c r="D756" t="str">
        <f t="shared" si="12"/>
        <v>Reversión del deterioro de participaciones y valores representativos de deuda a largo plazo</v>
      </c>
    </row>
    <row r="757" spans="2:4" x14ac:dyDescent="0.25">
      <c r="B757" t="s">
        <v>1502</v>
      </c>
      <c r="C757" t="s">
        <v>1503</v>
      </c>
      <c r="D757" t="str">
        <f t="shared" si="12"/>
        <v>Reversión del deterioro de participaciones en instrumentos de patrimonio neto a largo plazo, empresas del grupo</v>
      </c>
    </row>
    <row r="758" spans="2:4" x14ac:dyDescent="0.25">
      <c r="B758" t="s">
        <v>1504</v>
      </c>
      <c r="C758" t="s">
        <v>1505</v>
      </c>
      <c r="D758" t="str">
        <f t="shared" si="12"/>
        <v>Reversión del deterioro de participaciones en instrumentos de patrimonio neto a largo plazo, empresas asociadas</v>
      </c>
    </row>
    <row r="759" spans="2:4" x14ac:dyDescent="0.25">
      <c r="B759" t="s">
        <v>1506</v>
      </c>
      <c r="C759" t="s">
        <v>1507</v>
      </c>
      <c r="D759" t="str">
        <f t="shared" si="12"/>
        <v>Reversión del deterioro de participaciones en instrumentos de patrimonio neto a largo plazo, otras partes vinculadas</v>
      </c>
    </row>
    <row r="760" spans="2:4" x14ac:dyDescent="0.25">
      <c r="B760" t="s">
        <v>1508</v>
      </c>
      <c r="C760" t="s">
        <v>1509</v>
      </c>
      <c r="D760" t="str">
        <f t="shared" si="12"/>
        <v>Reversión del deterioro de participaciones en instrumentos de patrimonio neto a largo plazo, otras empresas</v>
      </c>
    </row>
    <row r="761" spans="2:4" x14ac:dyDescent="0.25">
      <c r="B761" t="s">
        <v>1510</v>
      </c>
      <c r="C761" t="s">
        <v>1511</v>
      </c>
      <c r="D761" t="str">
        <f t="shared" si="12"/>
        <v>Reversión del deterioro de valores representativos de deuda a largo plazo, empresas del grupo</v>
      </c>
    </row>
    <row r="762" spans="2:4" x14ac:dyDescent="0.25">
      <c r="B762" t="s">
        <v>1512</v>
      </c>
      <c r="C762" t="s">
        <v>1513</v>
      </c>
      <c r="D762" t="str">
        <f t="shared" si="12"/>
        <v>Reversión del deterioro de valores representativos de deuda a largo plazo, empresas asociadas</v>
      </c>
    </row>
    <row r="763" spans="2:4" x14ac:dyDescent="0.25">
      <c r="B763" t="s">
        <v>1514</v>
      </c>
      <c r="C763" t="s">
        <v>1515</v>
      </c>
      <c r="D763" t="str">
        <f t="shared" si="12"/>
        <v>Reversión del deterioro de valores representativos de deuda a largo plazo, otras partes vinculadas</v>
      </c>
    </row>
    <row r="764" spans="2:4" x14ac:dyDescent="0.25">
      <c r="B764" t="s">
        <v>1516</v>
      </c>
      <c r="C764" t="s">
        <v>1517</v>
      </c>
      <c r="D764" t="str">
        <f t="shared" si="12"/>
        <v>Reversión del deterioro de valores representativos de deuda a largo plazo, otras empresas</v>
      </c>
    </row>
    <row r="765" spans="2:4" x14ac:dyDescent="0.25">
      <c r="B765" t="s">
        <v>559</v>
      </c>
      <c r="C765" t="s">
        <v>1518</v>
      </c>
      <c r="D765" t="str">
        <f t="shared" si="12"/>
        <v>Reversión del deterioro de créditos a largo plazo</v>
      </c>
    </row>
    <row r="766" spans="2:4" x14ac:dyDescent="0.25">
      <c r="B766" t="s">
        <v>1519</v>
      </c>
      <c r="C766" t="s">
        <v>1520</v>
      </c>
      <c r="D766" t="str">
        <f t="shared" si="12"/>
        <v>Reversión del deterioro de créditos a largo plazo, empresas del grupo</v>
      </c>
    </row>
    <row r="767" spans="2:4" x14ac:dyDescent="0.25">
      <c r="B767" t="s">
        <v>1521</v>
      </c>
      <c r="C767" t="s">
        <v>1522</v>
      </c>
      <c r="D767" t="str">
        <f t="shared" si="12"/>
        <v>Reversión del deterioro de créditos a largo plazo, empresas asociadas</v>
      </c>
    </row>
    <row r="768" spans="2:4" x14ac:dyDescent="0.25">
      <c r="B768" t="s">
        <v>1523</v>
      </c>
      <c r="C768" t="s">
        <v>1524</v>
      </c>
      <c r="D768" t="str">
        <f t="shared" si="12"/>
        <v>Reversión del deterioro de créditos a largo plazo, otras partes vinculadas</v>
      </c>
    </row>
    <row r="769" spans="2:4" x14ac:dyDescent="0.25">
      <c r="B769" t="s">
        <v>560</v>
      </c>
      <c r="C769" t="s">
        <v>1525</v>
      </c>
      <c r="D769" t="str">
        <f t="shared" si="12"/>
        <v>Reversión del deterioro de créditos a largo plazo, otras empresas</v>
      </c>
    </row>
    <row r="770" spans="2:4" x14ac:dyDescent="0.25">
      <c r="B770" t="s">
        <v>1526</v>
      </c>
      <c r="C770" t="s">
        <v>1527</v>
      </c>
      <c r="D770" t="str">
        <f t="shared" si="12"/>
        <v>Reversión del deterioro de participaciones y valores representativos de deuda a corto plazo</v>
      </c>
    </row>
    <row r="771" spans="2:4" x14ac:dyDescent="0.25">
      <c r="B771" t="s">
        <v>1528</v>
      </c>
      <c r="C771" t="s">
        <v>1529</v>
      </c>
      <c r="D771" t="str">
        <f t="shared" si="12"/>
        <v>Reversión del deterioro de participaciones en instrumentos de patrimonio neto a corto plazo, empresas del grupo</v>
      </c>
    </row>
    <row r="772" spans="2:4" x14ac:dyDescent="0.25">
      <c r="B772" t="s">
        <v>1530</v>
      </c>
      <c r="C772" t="s">
        <v>1531</v>
      </c>
      <c r="D772" t="str">
        <f t="shared" si="12"/>
        <v>Reversión del deterioro de participaciones en instrumentos de patrimonio neto a corto plazo, empresas asociadas</v>
      </c>
    </row>
    <row r="773" spans="2:4" x14ac:dyDescent="0.25">
      <c r="B773" t="s">
        <v>1532</v>
      </c>
      <c r="C773" t="s">
        <v>1533</v>
      </c>
      <c r="D773" t="str">
        <f t="shared" si="12"/>
        <v>Reversión del deterioro en valores representativos de deuda a corto plazo, empresas del grupo</v>
      </c>
    </row>
    <row r="774" spans="2:4" x14ac:dyDescent="0.25">
      <c r="B774" t="s">
        <v>1534</v>
      </c>
      <c r="C774" t="s">
        <v>1535</v>
      </c>
      <c r="D774" t="str">
        <f t="shared" si="12"/>
        <v>Reversión del deterioro en valores representativos de deuda a corto plazo, empresas asociadas</v>
      </c>
    </row>
    <row r="775" spans="2:4" x14ac:dyDescent="0.25">
      <c r="B775" t="s">
        <v>1536</v>
      </c>
      <c r="C775" t="s">
        <v>1537</v>
      </c>
      <c r="D775" t="str">
        <f t="shared" si="12"/>
        <v>Reversión del deterioro en valores representativos de deuda a corto plazo, otras partes vinculadas</v>
      </c>
    </row>
    <row r="776" spans="2:4" x14ac:dyDescent="0.25">
      <c r="B776" t="s">
        <v>1538</v>
      </c>
      <c r="C776" t="s">
        <v>1539</v>
      </c>
      <c r="D776" t="str">
        <f t="shared" ref="D776:D781" si="13">MID(B776,FIND(".",B776)+2,LEN(B776))</f>
        <v>Reversión del deterioro en valores representativos de deuda a corto plazo, otras empresas</v>
      </c>
    </row>
    <row r="777" spans="2:4" x14ac:dyDescent="0.25">
      <c r="B777" t="s">
        <v>561</v>
      </c>
      <c r="C777" t="s">
        <v>1540</v>
      </c>
      <c r="D777" t="str">
        <f t="shared" si="13"/>
        <v>Reversión del deterioro de créditos a corto plazo</v>
      </c>
    </row>
    <row r="778" spans="2:4" x14ac:dyDescent="0.25">
      <c r="B778" t="s">
        <v>1541</v>
      </c>
      <c r="C778" t="s">
        <v>1542</v>
      </c>
      <c r="D778" t="str">
        <f t="shared" si="13"/>
        <v>Reversión del deterioro de créditos a corto plazo, empresas del grupo</v>
      </c>
    </row>
    <row r="779" spans="2:4" x14ac:dyDescent="0.25">
      <c r="B779" t="s">
        <v>1543</v>
      </c>
      <c r="C779" t="s">
        <v>1544</v>
      </c>
      <c r="D779" t="str">
        <f t="shared" si="13"/>
        <v>Reversión del deterioro de créditos a corto plazo, empresas asociadas</v>
      </c>
    </row>
    <row r="780" spans="2:4" x14ac:dyDescent="0.25">
      <c r="B780" t="s">
        <v>1545</v>
      </c>
      <c r="C780" t="s">
        <v>1546</v>
      </c>
      <c r="D780" t="str">
        <f t="shared" si="13"/>
        <v>Reversión del deterioro de créditos a corto plazo, otras partes vinculadas</v>
      </c>
    </row>
    <row r="781" spans="2:4" x14ac:dyDescent="0.25">
      <c r="B781" t="s">
        <v>1547</v>
      </c>
      <c r="C781" t="s">
        <v>1548</v>
      </c>
      <c r="D781" t="str">
        <f t="shared" si="13"/>
        <v>Reversión del deterioro de créditos a corto plazo, otras empresas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2B800-AC03-468D-A685-3FDCACB4FE78}">
  <dimension ref="A1:H18"/>
  <sheetViews>
    <sheetView workbookViewId="0">
      <selection activeCell="F15" sqref="F15"/>
    </sheetView>
  </sheetViews>
  <sheetFormatPr defaultRowHeight="15.75" x14ac:dyDescent="0.25"/>
  <cols>
    <col min="1" max="1" width="28.5" customWidth="1"/>
    <col min="6" max="6" width="29.25" customWidth="1"/>
  </cols>
  <sheetData>
    <row r="1" spans="1:8" ht="47.25" x14ac:dyDescent="0.25">
      <c r="A1" s="4" t="s">
        <v>1570</v>
      </c>
      <c r="B1" s="4" t="s">
        <v>1571</v>
      </c>
      <c r="C1" s="4" t="s">
        <v>1572</v>
      </c>
      <c r="D1" s="4" t="s">
        <v>1573</v>
      </c>
      <c r="E1" s="4" t="s">
        <v>5</v>
      </c>
      <c r="F1" s="4" t="s">
        <v>1574</v>
      </c>
      <c r="G1" s="4" t="s">
        <v>1575</v>
      </c>
      <c r="H1" s="4" t="s">
        <v>1576</v>
      </c>
    </row>
    <row r="2" spans="1:8" x14ac:dyDescent="0.25">
      <c r="A2" t="s">
        <v>1577</v>
      </c>
      <c r="E2" t="s">
        <v>1557</v>
      </c>
      <c r="G2" t="s">
        <v>1578</v>
      </c>
      <c r="H2" t="s">
        <v>1579</v>
      </c>
    </row>
    <row r="3" spans="1:8" x14ac:dyDescent="0.25">
      <c r="A3" t="s">
        <v>1580</v>
      </c>
      <c r="E3" t="s">
        <v>1557</v>
      </c>
      <c r="G3" t="s">
        <v>1581</v>
      </c>
      <c r="H3" t="s">
        <v>1579</v>
      </c>
    </row>
    <row r="4" spans="1:8" x14ac:dyDescent="0.25">
      <c r="A4" t="s">
        <v>1582</v>
      </c>
      <c r="E4" t="s">
        <v>1557</v>
      </c>
      <c r="G4" t="s">
        <v>1582</v>
      </c>
      <c r="H4" t="s">
        <v>1579</v>
      </c>
    </row>
    <row r="5" spans="1:8" x14ac:dyDescent="0.25">
      <c r="A5" t="s">
        <v>1583</v>
      </c>
      <c r="E5" t="s">
        <v>1557</v>
      </c>
      <c r="F5" t="s">
        <v>1584</v>
      </c>
      <c r="G5" t="s">
        <v>1585</v>
      </c>
      <c r="H5" t="s">
        <v>1579</v>
      </c>
    </row>
    <row r="6" spans="1:8" x14ac:dyDescent="0.25">
      <c r="A6" t="s">
        <v>1586</v>
      </c>
      <c r="E6" t="s">
        <v>1557</v>
      </c>
      <c r="F6" t="s">
        <v>1587</v>
      </c>
      <c r="G6" t="s">
        <v>1586</v>
      </c>
      <c r="H6" t="s">
        <v>1579</v>
      </c>
    </row>
    <row r="7" spans="1:8" x14ac:dyDescent="0.25">
      <c r="A7" t="s">
        <v>1588</v>
      </c>
      <c r="B7" t="s">
        <v>1577</v>
      </c>
      <c r="E7" t="s">
        <v>1557</v>
      </c>
      <c r="F7" t="s">
        <v>1589</v>
      </c>
      <c r="G7" t="s">
        <v>1578</v>
      </c>
      <c r="H7" t="s">
        <v>1579</v>
      </c>
    </row>
    <row r="8" spans="1:8" x14ac:dyDescent="0.25">
      <c r="A8" t="s">
        <v>1590</v>
      </c>
      <c r="B8" t="s">
        <v>1577</v>
      </c>
      <c r="E8" t="s">
        <v>1557</v>
      </c>
      <c r="F8" t="s">
        <v>1591</v>
      </c>
      <c r="G8" t="s">
        <v>1578</v>
      </c>
      <c r="H8" t="s">
        <v>1579</v>
      </c>
    </row>
    <row r="9" spans="1:8" x14ac:dyDescent="0.25">
      <c r="A9" t="s">
        <v>1592</v>
      </c>
      <c r="B9" t="s">
        <v>1577</v>
      </c>
      <c r="E9" t="s">
        <v>1557</v>
      </c>
      <c r="F9" t="s">
        <v>1593</v>
      </c>
      <c r="G9" t="s">
        <v>1578</v>
      </c>
      <c r="H9" t="s">
        <v>1579</v>
      </c>
    </row>
    <row r="10" spans="1:8" x14ac:dyDescent="0.25">
      <c r="A10" t="s">
        <v>1594</v>
      </c>
      <c r="B10" t="s">
        <v>1583</v>
      </c>
      <c r="E10" t="s">
        <v>1595</v>
      </c>
      <c r="F10" t="s">
        <v>1596</v>
      </c>
      <c r="G10" t="s">
        <v>1585</v>
      </c>
      <c r="H10" t="s">
        <v>1579</v>
      </c>
    </row>
    <row r="11" spans="1:8" x14ac:dyDescent="0.25">
      <c r="A11" t="s">
        <v>1597</v>
      </c>
      <c r="B11" t="s">
        <v>1583</v>
      </c>
      <c r="E11" t="s">
        <v>1595</v>
      </c>
      <c r="F11" t="s">
        <v>1598</v>
      </c>
      <c r="G11" t="s">
        <v>1585</v>
      </c>
      <c r="H11" t="s">
        <v>1579</v>
      </c>
    </row>
    <row r="12" spans="1:8" x14ac:dyDescent="0.25">
      <c r="A12" t="s">
        <v>1599</v>
      </c>
      <c r="B12" t="s">
        <v>1577</v>
      </c>
      <c r="E12" t="s">
        <v>1595</v>
      </c>
      <c r="F12" t="s">
        <v>1600</v>
      </c>
      <c r="G12" t="s">
        <v>1578</v>
      </c>
      <c r="H12" t="s">
        <v>1579</v>
      </c>
    </row>
    <row r="13" spans="1:8" x14ac:dyDescent="0.25">
      <c r="A13" t="s">
        <v>1601</v>
      </c>
      <c r="B13" t="s">
        <v>1580</v>
      </c>
      <c r="E13" t="s">
        <v>1595</v>
      </c>
      <c r="F13" t="s">
        <v>1602</v>
      </c>
      <c r="G13" t="s">
        <v>1581</v>
      </c>
      <c r="H13" t="s">
        <v>1579</v>
      </c>
    </row>
    <row r="14" spans="1:8" x14ac:dyDescent="0.25">
      <c r="A14" t="s">
        <v>1603</v>
      </c>
      <c r="B14" t="s">
        <v>1577</v>
      </c>
      <c r="E14" t="s">
        <v>1557</v>
      </c>
      <c r="F14" t="s">
        <v>1604</v>
      </c>
      <c r="G14" t="s">
        <v>1578</v>
      </c>
      <c r="H14" t="s">
        <v>1579</v>
      </c>
    </row>
    <row r="15" spans="1:8" x14ac:dyDescent="0.25">
      <c r="A15" t="s">
        <v>1605</v>
      </c>
      <c r="B15" t="s">
        <v>1583</v>
      </c>
      <c r="E15" t="s">
        <v>1595</v>
      </c>
      <c r="F15" t="s">
        <v>1606</v>
      </c>
      <c r="G15" t="s">
        <v>1585</v>
      </c>
      <c r="H15" t="s">
        <v>1579</v>
      </c>
    </row>
    <row r="16" spans="1:8" x14ac:dyDescent="0.25">
      <c r="A16" t="s">
        <v>1607</v>
      </c>
      <c r="B16" t="s">
        <v>1588</v>
      </c>
      <c r="E16" t="s">
        <v>1595</v>
      </c>
      <c r="F16" t="s">
        <v>1589</v>
      </c>
      <c r="G16" t="s">
        <v>1578</v>
      </c>
      <c r="H16" t="s">
        <v>1579</v>
      </c>
    </row>
    <row r="17" spans="1:8" x14ac:dyDescent="0.25">
      <c r="A17" t="s">
        <v>1591</v>
      </c>
      <c r="B17" t="s">
        <v>1590</v>
      </c>
      <c r="E17" t="s">
        <v>1595</v>
      </c>
      <c r="F17" t="s">
        <v>1591</v>
      </c>
      <c r="G17" t="s">
        <v>1578</v>
      </c>
      <c r="H17" t="s">
        <v>1579</v>
      </c>
    </row>
    <row r="18" spans="1:8" x14ac:dyDescent="0.25">
      <c r="A18" t="s">
        <v>1608</v>
      </c>
      <c r="B18" t="s">
        <v>1592</v>
      </c>
      <c r="E18" t="s">
        <v>1595</v>
      </c>
      <c r="F18" t="s">
        <v>1593</v>
      </c>
      <c r="G18" t="s">
        <v>1578</v>
      </c>
      <c r="H18" t="s">
        <v>1579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import_erp_v2</vt:lpstr>
      <vt:lpstr>pgc_pyme</vt:lpstr>
      <vt:lpstr>cuentas_balance</vt:lpstr>
      <vt:lpstr>cuentas_pyme</vt:lpstr>
      <vt:lpstr>erp_template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Delio Díaz García</dc:creator>
  <cp:lastModifiedBy>Antonio Cañada Momblant</cp:lastModifiedBy>
  <dcterms:created xsi:type="dcterms:W3CDTF">2013-03-05T18:10:54Z</dcterms:created>
  <dcterms:modified xsi:type="dcterms:W3CDTF">2025-05-12T20:25:09Z</dcterms:modified>
</cp:coreProperties>
</file>